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ED CHARACTERS" sheetId="1" state="visible" r:id="rId3"/>
    <sheet name="ALL CANDIDATES" sheetId="2" state="visible" r:id="rId4"/>
    <sheet name="TOP FAME" sheetId="3" state="visible" r:id="rId5"/>
    <sheet name="TOP MOMENTUM" sheetId="4" state="visible" r:id="rId6"/>
    <sheet name="SOCIAL GRAPH" sheetId="5" state="visible" r:id="rId7"/>
    <sheet name="CAREER TIMELINE" sheetId="6" state="visible" r:id="rId8"/>
    <sheet name="DATA SUFFICIENCY" sheetId="7" state="visible" r:id="rId9"/>
    <sheet name="SOURCES" sheetId="8" state="visible" r:id="rId10"/>
    <sheet name="TOP DISTINCTIVE" sheetId="9" state="visible" r:id="rId11"/>
    <sheet name="TOP INDEX CANDIDATES" sheetId="10" state="visible" r:id="rId12"/>
    <sheet name="SCORING METHOD" sheetId="11" state="visible" r:id="rId13"/>
  </sheets>
  <definedNames>
    <definedName function="false" hidden="true" localSheetId="1" name="_xlnm._FilterDatabase" vbProcedure="false">'ALL CANDIDATES'!$A$1:$BX$63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X1" authorId="0">
      <text>
        <r>
          <rPr>
            <sz val="10"/>
            <rFont val="Arial"/>
            <family val="2"/>
          </rPr>
          <t xml:space="preserve">12 most recent non-pinned posts; hidden-like posts excluded.</t>
        </r>
      </text>
    </comment>
    <comment ref="AR1" authorId="0">
      <text>
        <r>
          <rPr>
            <sz val="10"/>
            <rFont val="Arial"/>
            <family val="2"/>
          </rPr>
          <t xml:space="preserve">Tickers provided by the user in the brief; compare with the Instagram-observed column.</t>
        </r>
      </text>
    </comment>
  </commentList>
</comments>
</file>

<file path=xl/sharedStrings.xml><?xml version="1.0" encoding="utf-8"?>
<sst xmlns="http://schemas.openxmlformats.org/spreadsheetml/2006/main" count="3470" uniqueCount="1376">
  <si>
    <t xml:space="preserve">NAME</t>
  </si>
  <si>
    <t xml:space="preserve">INSTAGRAM HANDLE</t>
  </si>
  <si>
    <t xml:space="preserve">INSTAGRAM PROFILE URL</t>
  </si>
  <si>
    <t xml:space="preserve">FOLLOWER COUNT</t>
  </si>
  <si>
    <t xml:space="preserve">NUMBER OF POSTS</t>
  </si>
  <si>
    <t xml:space="preserve">POSTING FREQUENCY (posts/week, last 14d)</t>
  </si>
  <si>
    <t xml:space="preserve">POSTS LAST 7D</t>
  </si>
  <si>
    <t xml:space="preserve">AVERAGE LIKES (last 12 posts)</t>
  </si>
  <si>
    <t xml:space="preserve">AVERAGE COMMENTS (last 12 posts)</t>
  </si>
  <si>
    <t xml:space="preserve">ENGAGEMENT RATE</t>
  </si>
  <si>
    <t xml:space="preserve">ESTIMATED ENGAGEMENT LEVEL</t>
  </si>
  <si>
    <t xml:space="preserve">LAST POST DATE</t>
  </si>
  <si>
    <t xml:space="preserve">RECENT ACTIVITY</t>
  </si>
  <si>
    <t xml:space="preserve">FIRST VISIBLE POST / APPROXIMATE DEBUT</t>
  </si>
  <si>
    <t xml:space="preserve">CHARACTER BIO</t>
  </si>
  <si>
    <t xml:space="preserve">PERSONALITY / ARCHETYPE</t>
  </si>
  <si>
    <t xml:space="preserve">VISUAL STYLE</t>
  </si>
  <si>
    <t xml:space="preserve">CONTENT STYLE</t>
  </si>
  <si>
    <t xml:space="preserve">RECURRING JOKES / THEMES</t>
  </si>
  <si>
    <t xml:space="preserve">MOST SUCCESSFUL POSTS</t>
  </si>
  <si>
    <t xml:space="preserve">NOTABLE REELS</t>
  </si>
  <si>
    <t xml:space="preserve">VIRAL MOMENTS</t>
  </si>
  <si>
    <t xml:space="preserve">BRAND COLLABS (if visible)</t>
  </si>
  <si>
    <t xml:space="preserve">OTHER FICTIONAL / AI CHARACTERS THEY INTERACT WITH</t>
  </si>
  <si>
    <t xml:space="preserve">TOKEN / TICKER - on Instagram</t>
  </si>
  <si>
    <t xml:space="preserve">TOKEN / TICKER - user supplied</t>
  </si>
  <si>
    <t xml:space="preserve">TOKEN / TICKER - external (non-IG)</t>
  </si>
  <si>
    <t xml:space="preserve">WEBSITE / LINK IN BIO</t>
  </si>
  <si>
    <t xml:space="preserve">IS THE ACCOUNT ACTIVE?</t>
  </si>
  <si>
    <t xml:space="preserve">WHY THIS CHARACTER IS INTERESTING</t>
  </si>
  <si>
    <t xml:space="preserve">PARODY / IDENTITY DISAMBIGUATION</t>
  </si>
  <si>
    <t xml:space="preserve">ALT / COPYCAT ACCOUNTS FOUND</t>
  </si>
  <si>
    <t xml:space="preserve">FAME SCORE</t>
  </si>
  <si>
    <t xml:space="preserve">MOMENTUM SCORE</t>
  </si>
  <si>
    <t xml:space="preserve">INDEX CANDIDATE SCORE</t>
  </si>
  <si>
    <t xml:space="preserve">Evidence links (key posts)</t>
  </si>
  <si>
    <t xml:space="preserve">Jean Phil</t>
  </si>
  <si>
    <t xml:space="preserve">jean_philanthrope</t>
  </si>
  <si>
    <t xml:space="preserve">https://www.instagram.com/jean_philanthrope/</t>
  </si>
  <si>
    <t xml:space="preserve">OBSERVED: last post 2026-10-07 (Paris Fashion Week / @stellamccartney, 5,981 likes). 2 posts in last 7 days, 4 in last 14. Cadence and engagement falling since the 09-18..09-22 peak.</t>
  </si>
  <si>
    <t xml:space="preserve">OBSERVED: first post 2026-09-17 - 'Jab, crochet. T'as senti le danger? 😤' (35,972 likes). Full history (12/12) loaded. External (non-IG): Sprites.ai says the account was created June 2025 and renamed several times - UNKNOWN on IG.</t>
  </si>
  <si>
    <t xml:space="preserve">OBSERVED (bio verbatim): Oui Madame.</t>
  </si>
  <si>
    <t xml:space="preserve">OBSERVED: catchphrase 'Oui Madame.'; French captions; shadowboxing ('Jab, crochet. T'as senti le danger?'). INFERRED: suave, deadpan French gentleman-fighter / ladies' man</t>
  </si>
  <si>
    <t xml:space="preserve">OBSERVED (grid screenshot): blond bowl/bob haircut, curled moustache, freckles, brown tweed suit + tie; real-world Paris locations</t>
  </si>
  <si>
    <t xml:space="preserve">OBSERVED: 12/12 Reels; short vertical clips, French-language captions, music-driven</t>
  </si>
  <si>
    <t xml:space="preserve">OBSERVED: 'Oui Madame.' sign-off on most captions; boxing/shadowboxing; Paris landmarks (Tour Eiffel); fashion (Paris Fashion Week, Double G)</t>
  </si>
  <si>
    <t xml:space="preserve">OBSERVED: 1) https://www.instagram.com/p/Ddb0QUyqnhG/ 2026-09-19 - 1,708,185 likes / 53,119 comments ('Elle m'appelle le soir...'); 2) https://www.instagram.com/p/Ddb4D8_qH_E/ 2026-09-18 - 921,019 / 15,560 (same lyric caption); 3) https://www.instagram.com/p/DdeBU0CK14n/ 2026-09-19 - 309,612 / 8,147 ('She feels safe with the man.')</t>
  </si>
  <si>
    <t xml:space="preserve">OBSERVED: https://www.instagram.com/p/DdmGsuNidFV/ 'Double G. Oui Madame' 219,931 likes; https://www.instagram.com/p/DdjeRwjqH5R/ 'Do you always dress this sharp? Oui Madame.' 195,109; https://www.instagram.com/p/DdhLkjpib7a/ 'Bonjour' 110,763; debut https://www.instagram.com/p/DdZ3IkKiiXx/ 35,972. All 12 posts are Reels; view counts not exposed (UNKNOWN).</t>
  </si>
  <si>
    <t xml:space="preserve">OBSERVED: 1.7M-like reel on day 3 of the account (2026-09-19); average 500,084 likes/post in week 1 (7 posts). INFERRED: the template that spawned the wave (rival Archibald Brown debuted 09-20, Abu Shalab 09-25, Benjamin Stachio 09-27).</t>
  </si>
  <si>
    <t xml:space="preserve">OBSERVED: tags @stellamccartney (Paris Fashion Week 2026 post) and @lafeve7 - no paid-partnership label captured; UNKNOWN whether paid</t>
  </si>
  <si>
    <t xml:space="preserve">OBSERVED (inbound): @archibald_brown (9 mentions - 'come to London and find out…', 'you're next'), @brigittemacaron_ (4 - 'La Jeanconde', 'your father'), @imranpoppadumb (4), @derek.mercer.2006 (2), @dequavious_von (2), @jadeorlhabit_ (bio 'Oui Monsieur… @jean_philanthrope Love U 💋'). Jean's own posts tag no other AI characters.</t>
  </si>
  <si>
    <t xml:space="preserve">OBSERVED: NONE observed in bio/captions</t>
  </si>
  <si>
    <t xml:space="preserve">$JEAN</t>
  </si>
  <si>
    <t xml:space="preserve">$JEANPHIL (pump.fun, Solana) per Dexerto/Sprites.ai - NOT on IG profile</t>
  </si>
  <si>
    <t xml:space="preserve">(none) - story highlight 'Contact'</t>
  </si>
  <si>
    <t xml:space="preserve">YES - OBSERVED last post 2026-10-07 (2 days before capture); slowing (2 posts/7d).</t>
  </si>
  <si>
    <t xml:space="preserve">INFERRED: Patient zero of the Sep-2026 AI-character wave: 1.7M-like reel within 2 days of debut; the hub most other characters tag or call out.</t>
  </si>
  <si>
    <t xml:space="preserve">Original fictional character (no real-person namesake identified). Not to be confused with impostor/promo account @jeanphilanthrope.co ('Evil Twin').</t>
  </si>
  <si>
    <t xml:space="preserve">@jeanphilanthrope.co (250,667 followers, 'Evil Twin… Create Videos Just Like Me', ~336 likes/post - EXCLUDED); @jean_philanthroope; @phil_john_jean (copycat, 11K); @jeanphilbonjour (fan).</t>
  </si>
  <si>
    <t xml:space="preserve">https://www.instagram.com/p/DdZ3IkKiiXx/ debut
https://www.instagram.com/p/Ddb0QUyqnhG/ top
https://www.instagram.com/p/Ddb4D8_qH_E/
https://www.instagram.com/p/DdeBU0CK14n/
https://www.instagram.com/p/DeMqmuiiY6J/ latest (PFW/Stella McCartney)
https://www.instagram.com/p/Dd_4AYBiSwh/ @lafeve7</t>
  </si>
  <si>
    <t xml:space="preserve">Benjamin Stachio</t>
  </si>
  <si>
    <t xml:space="preserve">benjamin_stachio</t>
  </si>
  <si>
    <t xml:space="preserve">https://www.instagram.com/benjamin_stachio/</t>
  </si>
  <si>
    <t xml:space="preserve">OBSERVED: last post 2026-10-08 ('About last night 🍎', 627 likes). 6 posts in 7 days. 10-07 pinned announcement: single 'Shut It' released on streaming; 10-07 teaser 'Something big and fun is coming'.</t>
  </si>
  <si>
    <t xml:space="preserve">OBSERVED: first post 2026-09-27 - 'Clearing my head' (10,315 likes). Full history (15/15) loaded.</t>
  </si>
  <si>
    <t xml:space="preserve">OBSERVED (bio verbatim): Hello Darling / ⚠️No crypto affiliation yet⚠️</t>
  </si>
  <si>
    <t xml:space="preserve">OBSERVED: 'Hello Darling'; travel/dance diary captions ('Visiting Rio de Janeiro', 'Dressed for the meeting'). INFERRED: polite, oblivious party gentleman</t>
  </si>
  <si>
    <t xml:space="preserve">OBSERVED: triple-curl hair swirl + huge curled moustache, oversized neck, white shirt, navy tie, mustard trousers; real-world crowds (bar, Rio, Washington Monument)</t>
  </si>
  <si>
    <t xml:space="preserve">OBSERVED: 15/15 Reels; crowd-dance clips</t>
  </si>
  <si>
    <t xml:space="preserve">OBSERVED: dancing in crowds; travel (Brazil, Rio, Washington); 'About last night'; music single 'Shut It' announced 10-07</t>
  </si>
  <si>
    <t xml:space="preserve">OBSERVED: 1) https://www.instagram.com/p/Dd2joiwTDJv/ 2026-09-29 'Dancing with friends' - 846,425 likes / 76,277 comments (pinned); 2) https://www.instagram.com/p/Dd4BE9nMR7M/ 2026-09-29 'About last night.' - 43,249 / 2,514; 3) https://www.instagram.com/p/Dd4zsK4sap8/ 2026-09-29 'Visiting Rio de Janeiro' - 22,710 / 925</t>
  </si>
  <si>
    <t xml:space="preserve">OBSERVED: https://www.instagram.com/p/DeMs_zftQSm/ song release 'Shut It' (8,115 likes, pinned); https://www.instagram.com/p/Dd6Q8eVNeBn/ 'Made some friends in Brazil' 9,993 (pinned); https://www.instagram.com/p/Dd1byg2OwdD/ 'Working on my jabs.' 8,690. All 15 posts are Reels.</t>
  </si>
  <si>
    <t xml:space="preserve">OBSERVED: bar-dance reel (09-29) - 846K likes and 76K comments, the highest comment count of any seed post. External (non-IG): Dexerto 2026-09-30 reports an X repost by @teddybearisms passing 1.5M views and Grok calling it 'almost certainly AI'.</t>
  </si>
  <si>
    <t xml:space="preserve">UNKNOWN - none visible</t>
  </si>
  <si>
    <t xml:space="preserve">OBSERVED: none - no tags/mentions of other characters in 15 posts; no inbound mentions captured.</t>
  </si>
  <si>
    <t xml:space="preserve">OBSERVED: NONE - bio explicitly says 'No crypto affiliation yet'</t>
  </si>
  <si>
    <t xml:space="preserve">$STACHE</t>
  </si>
  <si>
    <t xml:space="preserve">None per Dexerto (2026-09-30)</t>
  </si>
  <si>
    <t xml:space="preserve">(none)</t>
  </si>
  <si>
    <t xml:space="preserve">YES - OBSERVED last post 2026-10-08; 6 posts in last 7 days.</t>
  </si>
  <si>
    <t xml:space="preserve">INFERRED: Most visually distinctive body-horror-comedy design of the wave; first character to move into music (single 'Shut It').</t>
  </si>
  <si>
    <t xml:space="preserve">Original fictional character; no real-person namesake identified.</t>
  </si>
  <si>
    <t xml:space="preserve">@benjamin_stachiio (78 followers, copycat), @benjaminstachio, @darlingbenj, @benjamin_stachin (search results, not reviewed).</t>
  </si>
  <si>
    <t xml:space="preserve">https://www.instagram.com/p/DdzqxONPLaG/ debut
https://www.instagram.com/p/Dd2joiwTDJv/ viral
https://www.instagram.com/p/Dd4BE9nMR7M/
https://www.instagram.com/p/DeMs_zftQSm/ song 'Shut It'
https://www.instagram.com/p/DeMc0YJBHjU/ teaser</t>
  </si>
  <si>
    <t xml:space="preserve">Lord Farquaad (parody account)</t>
  </si>
  <si>
    <t xml:space="preserve">lord.farquaad.sol</t>
  </si>
  <si>
    <t xml:space="preserve">https://www.instagram.com/lord.farquaad.sol/</t>
  </si>
  <si>
    <t xml:space="preserve">OBSERVED: last post 2026-10-09 (capture day); 26 posts in last 7 days (~3-4/day). Captions now carry '#higgsfieldpartner'. Engagement down from 50,981 avg (09-24..30) to 4,870 avg (10-05..09).</t>
  </si>
  <si>
    <t xml:space="preserve">OBSERVED: first post 2026-09-25 (full 57-post history loaded on first pass; earliest captured codes: 09-26 'You buggin' / 'You know I had to hop on this trend').</t>
  </si>
  <si>
    <t xml:space="preserve">OBSERVED (bio verbatim): Some of you may die, but that is a sacrifice I am willing to make / Email: lordfarquaadbusiness@gmail.com / Made with @higgsfield.ai</t>
  </si>
  <si>
    <t xml:space="preserve">OBSERVED: bio quotes the film villain's line; captions 'You buggin', 'Feeling fresh', 'Goodnight everyone (say it back)'. INFERRED: pompous tiny tyrant who loves TikTok dance trends</t>
  </si>
  <si>
    <t xml:space="preserve">OBSERVED: black page-boy bob, burgundy medieval tunic/cape, filmed in modern settings (metro, night city)</t>
  </si>
  <si>
    <t xml:space="preserve">OBSERVED: 57/57 Reels; trend-dance clips; ~3-4 posts/day</t>
  </si>
  <si>
    <t xml:space="preserve">OBSERVED: hopping on dance trends ('You know I had to hop on this trend'); morning dances; milestone thanks ('Thank you for 40k!!')</t>
  </si>
  <si>
    <t xml:space="preserve">OBSERVED: 1) https://www.instagram.com/p/DdwhswgBSFq/ 2026-09-26 'Feeling fresh' - 379,725 likes / 2,844 comments; 2) https://www.instagram.com/p/Ddzz7F1hYlR/ 09-27 'Feeling smooth' - 137,053 / 667; 3) https://www.instagram.com/p/Dd3h3r_hnY0/ 09-29 'Early morning dance' - 88,544 / 698</t>
  </si>
  <si>
    <t xml:space="preserve">OBSERVED: https://www.instagram.com/p/Dd4wdxZh3fs/ 'Thank you for 40k!!' 85,156; https://www.instagram.com/p/DdxIVkvB4XF/ 'Hitting this dance every morning' 70,551; https://www.instagram.com/p/DeOsvhjhDoP/ sponsored '#higgsfieldpartner' 8,642. 57/57 Reels.</t>
  </si>
  <si>
    <t xml:space="preserve">OBSERVED: 379K-like reel on day 2; '40k' milestone post 09-29; follower count 102.5K by 10-09.</t>
  </si>
  <si>
    <t xml:space="preserve">OBSERVED: '#higgsfieldpartner' tags on October captions = Higgsfield AI partnership; 'Made with @higgsfield.ai' in bio</t>
  </si>
  <si>
    <t xml:space="preserve">OBSERVED: none (only @higgsfield.ai / @higgsfield.creators / @higgsfield.soul - AI tool accounts).</t>
  </si>
  <si>
    <t xml:space="preserve">OBSERVED: NONE in bio/captions; handle suffix '.sol' suggests Solana link (INFERRED)</t>
  </si>
  <si>
    <t xml:space="preserve">$SHORTKING</t>
  </si>
  <si>
    <t xml:space="preserve">UNKNOWN</t>
  </si>
  <si>
    <t xml:space="preserve">YES - OBSERVED most active seed (posted on capture day; 26 posts/7d).</t>
  </si>
  <si>
    <t xml:space="preserve">INFERRED: Highest posting cadence of any seed and an explicit AI-tool sponsorship - shows the brand-deal business model; borrowed IP limits index suitability.</t>
  </si>
  <si>
    <t xml:space="preserve">PARODY of the DreamWorks 'Shrek' villain Lord Farquaad (third-party fictional IP). This account is NOT affiliated with DreamWorks; the bio quotes the film. IP/brand risk for any index product.</t>
  </si>
  <si>
    <t xml:space="preserve">@lord__.farquaad, @l.o.r.d._.farquaad, @lordfarquaad20, @lordfarquaad.93 (search results; fan/meme accounts, not reviewed).</t>
  </si>
  <si>
    <t xml:space="preserve">https://www.instagram.com/p/DdwhswgBSFq/ top
https://www.instagram.com/p/Ddzz7F1hYlR/
https://www.instagram.com/p/Dd4wdxZh3fs/ 40k milestone
https://www.instagram.com/p/DeOsvhjhDoP/ #higgsfieldpartner
https://www.instagram.com/p/DdvPCA8hQ63/ early</t>
  </si>
  <si>
    <t xml:space="preserve">Archibald Brown</t>
  </si>
  <si>
    <t xml:space="preserve">archibald_brown</t>
  </si>
  <si>
    <t xml:space="preserve">https://www.instagram.com/archibald_brown/</t>
  </si>
  <si>
    <t xml:space="preserve">OBSERVED: last post 2026-10-07 ('Who…', 260 likes). 5 posts in 7 days. October storyline: fake UFC signing ('Thanks for this opportunity @danawhite', pinned 10-05) and call-out of Abu Nutty + Jean Phil (10-05).</t>
  </si>
  <si>
    <t xml:space="preserve">OBSERVED: first post 2026-09-20 - '0.5 speed' (9,949 likes). Full history (56/56) loaded - 3 days after Jean Phil's debut.</t>
  </si>
  <si>
    <t xml:space="preserve">OBSERVED (bio verbatim): DM if you need the 101 on throwing hands? 🥊</t>
  </si>
  <si>
    <t xml:space="preserve">OBSERVED: coaching/fight talk ('101 on throwing hands', 'Quick 101'), call-outs ('@jean_philanthrope come to London and find out…'). INFERRED: cocky London boxer, Jean Phil's nemesis</t>
  </si>
  <si>
    <t xml:space="preserve">OBSERVED: chestnut bowl cut, thin moustache, beige suit + tie; pinned UFC-contract photo; staged photo with a Mike Tyson likeness</t>
  </si>
  <si>
    <t xml:space="preserve">OBSERVED: 50 Reels + 6 photos/carousels; highlights 'Going pro', 'Getting him'</t>
  </si>
  <si>
    <t xml:space="preserve">OBSERVED: rivalry with Jean Phil; fake UFC career ('Thanks for this opportunity @danawhite'); 'Casper was the warm-up, @abunuttyofficial @jean_philanthrope, you're next' (10-05)</t>
  </si>
  <si>
    <t xml:space="preserve">OBSERVED: 1) https://www.instagram.com/p/DdmQOpyMNfr/ 2026-09-22 'Send me a dm for coaching' - 1,106,935 likes / 11,486 comments; 2) https://www.instagram.com/p/Ddlj-kosQ2h/ 09-22 '@jean_philanthrope come to London and find out…' - 196,416 / 4,432; 3) https://www.instagram.com/p/DdodwfSsRBx/ 09-23 'Flowing' - 71,382 / 1,143</t>
  </si>
  <si>
    <t xml:space="preserve">OBSERVED: https://www.instagram.com/p/DdhzWDAM0F7/ '02:00 sesh' 54,754; https://www.instagram.com/p/Ddh3VsKi8vN/ 53,879 / 5,102 comments; https://www.instagram.com/p/DeIXFGUMxmL/ 'Casper was the warm-up, @abunuttyofficial @jean_philanthrope, you're next.' (10-05). 50 Reels + 6 photos.</t>
  </si>
  <si>
    <t xml:space="preserve">OBSERVED: 1.1M-like reel on day 3 (09-22) and the Jean Phil call-out the same day; pre-09-24 average 90,924 likes/post (18 posts).</t>
  </si>
  <si>
    <t xml:space="preserve">UNKNOWN - real fighters/Dana White are tagged as parody, no partnership label captured</t>
  </si>
  <si>
    <t xml:space="preserve">OBSERVED: OUT -&gt; @jean_philanthrope (9; rivalry), @abunuttyofficial (3; call-out). IN &lt;- @percival_ashcrofttt (3). Also tags real fighters/execs as storyline props (@anthonyjoshua, @jonnybones, @miketyson, @danawhite, @rodtang_jimungnon) - NOT real collaborations.</t>
  </si>
  <si>
    <t xml:space="preserve">OBSERVED: NONE observed</t>
  </si>
  <si>
    <t xml:space="preserve">$ARCHIBROWN per Dexerto/Sprites.ai - NOT on IG profile</t>
  </si>
  <si>
    <t xml:space="preserve">archibaldbrown.com (+ Threads @archibald_brown)</t>
  </si>
  <si>
    <t xml:space="preserve">YES - OBSERVED last post 2026-10-07; engagement low (~1-2K likes).</t>
  </si>
  <si>
    <t xml:space="preserve">INFERRED: The storyline engine of the wave: rivalry with Jean Phil, cross-over call-outs to the AI-animal fighters (Abu Nutty, Casper). Strong lore, weak recent engagement.</t>
  </si>
  <si>
    <t xml:space="preserve">Original fictional character (no real-person namesake identified). Real athletes appear only as tagged/AI-generated props; they are not involved.</t>
  </si>
  <si>
    <t xml:space="preserve">@archibaldbrown3, @sir_archibaldfrenchie, @chroniclesofarchibaldbrown, @archeezmo (search results - unrelated or copycats).</t>
  </si>
  <si>
    <t xml:space="preserve">https://www.instagram.com/p/Ddhr_xBsuRK/ debut
https://www.instagram.com/p/DdmQOpyMNfr/ top
https://www.instagram.com/p/Ddlj-kosQ2h/ Jean call-out
https://www.instagram.com/p/DeIXFGUMxmL/ 'you're next'
https://www.instagram.com/p/DeIXZFdsCGd/ UFC 'opportunity'
https://www.instagram.com/p/DdmINpvsuGs/ 'Mike met the man himself'</t>
  </si>
  <si>
    <t xml:space="preserve">Abu Shalab</t>
  </si>
  <si>
    <t xml:space="preserve">abu.shalab</t>
  </si>
  <si>
    <t xml:space="preserve">https://www.instagram.com/abu.shalab/</t>
  </si>
  <si>
    <t xml:space="preserve">OBSERVED: last post 2026-10-08 ('Whats up guys !', 1,086 likes). 11 posts in 7 days; October average ~5-30K likes vs ~281K in the first 6 days.</t>
  </si>
  <si>
    <t xml:space="preserve">OBSERVED: first post 2026-09-25 - 'Habibi got hands' (30,379 likes). Full history (27/27) loaded.</t>
  </si>
  <si>
    <t xml:space="preserve">OBSERVED (bio verbatim): Dancer | Actor | Comedian / Road to 1M followers 😁 (0.52/1M) / Official $ABU👇</t>
  </si>
  <si>
    <t xml:space="preserve">OBSERVED: 'Dancer | Actor | Comedian'; emoji-only captions, 'Heeywa', 'Habibi got hands'. INFERRED: carefree uncle-dancer</t>
  </si>
  <si>
    <t xml:space="preserve">OBSERVED: white thobe, black bob wig, thick moustache; Dubai skyline, cars, airplanes</t>
  </si>
  <si>
    <t xml:space="preserve">OBSERVED: 26 Reels + 1 carousel</t>
  </si>
  <si>
    <t xml:space="preserve">OBSERVED: dancing anywhere (Disco time, DJ Abu, Abu Verstappen F1 parody); 'Road to 1M' follower goal; $ABU on-chain announcement</t>
  </si>
  <si>
    <t xml:space="preserve">OBSERVED: 1) https://www.instagram.com/p/Dduf1zGNri-/ 2026-09-25 'Throwback to when i won red bull dance' - 1,392,520 likes / 16,271 comments; 2) https://www.instagram.com/p/DdxCLS5NMRz/ 09-26 '🏡🕺' - 874,373 / 27,821; 3) https://www.instagram.com/p/DdyLrNpt3UU/ 09-27 'Disco time 😉' - 526,745 / 11,279</t>
  </si>
  <si>
    <t xml:space="preserve">OBSERVED: https://www.instagram.com/p/Dd4WBQrt48X/ '🫶🕺' 289,729 / 32,186 comments; https://www.instagram.com/p/DdzcjsYtSxs/ 'A pump might be fun' 162,781; https://www.instagram.com/p/DeEbl6aNLnv/ 'Abu Verstappen 🏎️' 81,356 (best October post).</t>
  </si>
  <si>
    <t xml:space="preserve">OBSERVED: 1.39M-like reel on debut day; ~531K followers in 14 days (bio shows 'Road to 1M followers (0.52/1M)').</t>
  </si>
  <si>
    <t xml:space="preserve">OBSERVED: IN &lt;- @imranpoppadumb (2). No outbound character tags. Clone-style accounts in the same archetype: @abu.yalla, @abdoul.cheqri.</t>
  </si>
  <si>
    <t xml:space="preserve">OBSERVED: $ABU (bio + 10-02 carousel '$ABU Officially on Chain 🚀')</t>
  </si>
  <si>
    <t xml:space="preserve">$ABUJAB</t>
  </si>
  <si>
    <t xml:space="preserve">join.pump.fun/HSag/wsvnmbjs (pump.fun referral)</t>
  </si>
  <si>
    <t xml:space="preserve">YES - OBSERVED last post 2026-10-08; 11 posts/7d.</t>
  </si>
  <si>
    <t xml:space="preserve">INFERRED: Biggest audience among seeds (531K in 14 days) and the clearest IG-native token link ($ABU + pump.fun link in bio).</t>
  </si>
  <si>
    <t xml:space="preserve">Original fictional character (Gulf/Arab 'uncle' archetype). Not a real performer as far as Instagram shows; 'won red bull dance' is an in-character joke (no Red Bull tag).</t>
  </si>
  <si>
    <t xml:space="preserve">@abushalab.official, @abu__shalab, @abu_shalab11, @abu_shalab_ (search results - not reviewed).</t>
  </si>
  <si>
    <t xml:space="preserve">https://www.instagram.com/p/DduMth6NxfU/ debut
https://www.instagram.com/p/Dduf1zGNri-/ top
https://www.instagram.com/p/DdxCLS5NMRz/
https://www.instagram.com/p/DdyLrNpt3UU/
https://www.instagram.com/p/DdzcjsYtSxs/ 'A pump might be fun'
https://www.instagram.com/p/DeAn0u0Dc9M/ '$ABU Officially on Chain'</t>
  </si>
  <si>
    <t xml:space="preserve">Brigitte Macaron</t>
  </si>
  <si>
    <t xml:space="preserve">brigittemacaron_</t>
  </si>
  <si>
    <t xml:space="preserve">https://www.instagram.com/brigittemacaron_/</t>
  </si>
  <si>
    <t xml:space="preserve">OBSERVED: last post 2026-10-08 ('Public transport. Private concert 🫦'). 7 posts in 7 days; likes hidden on most posts; comments 1-21 per post.</t>
  </si>
  <si>
    <t xml:space="preserve">OBSERVED: first post 2026-09-26 - 'Dua couldn't make it. I was two stops away' (4,911 likes / 62 comments). Full history (18/18) loaded.</t>
  </si>
  <si>
    <t xml:space="preserve">OBSERVED (bio verbatim): TikTok: brigittemacaron_ (300K) / Tomorrow's outfit. I'm letting you decide 👇🏻</t>
  </si>
  <si>
    <t xml:space="preserve">OBSERVED: calls fans 'Macaronies'; 'Your father insisted...', 'They challenged the wrong auntie 💅'. INFERRED: flirtatious, fashion-obsessed Parisian matriarch, implied partner of Jean Phil</t>
  </si>
  <si>
    <t xml:space="preserve">OBSERVED: platinum blunt bob, tortoiseshell glasses, red patent jacket / Spider-Man suit outfits, pastries; metro and cafe settings</t>
  </si>
  <si>
    <t xml:space="preserve">OBSERVED: 18/18 Reels; 'vote on tomorrow's outfit' interactive format</t>
  </si>
  <si>
    <t xml:space="preserve">OBSERVED: outfit voting; Fashion Week (Milan, Paris); Dua Lipa obsession; Jean Phil family references ('La Jeanconde. My greatest masterpiece')</t>
  </si>
  <si>
    <t xml:space="preserve">OBSERVED: 1) https://www.instagram.com/p/DeEZ0sEN_Hy/ 2026-10-04 '200K Macaronies on TikTok, in less than 1 week' - 17,442 likes / 91 comments; 2) https://www.instagram.com/p/DdwN0y8t_Xg/ 09-26 - 4,911 / 62; other posts' likes hidden (UNKNOWN).</t>
  </si>
  <si>
    <t xml:space="preserve">OBSERVED: https://www.instagram.com/p/Dd6t_drNhuS/ 'La Jeanconde. My greatest masterpiece (so far) 🎨'; https://www.instagram.com/p/Dd6B7oYNEhb/ 'My first Fashion Week. Your father insisted…'; https://www.instagram.com/p/DeKGJoIN3vK/ outfit-vote result ('Apparently I'm Spider…' - 18 comments). 18/18 Reels.</t>
  </si>
  <si>
    <t xml:space="preserve">OBSERVED: self-reported '200K Macaronies on TikTok in less than 1 week' (10-04) and 'TikTok: brigittemacaron_ (300K)' in bio. External (non-IG): Sprites.ai cites 16M views in 3 days (creator thread). IG reach itself is modest.</t>
  </si>
  <si>
    <t xml:space="preserve">UNKNOWN - Dua Lipa is tagged as a joke, not a partner</t>
  </si>
  <si>
    <t xml:space="preserve">OBSERVED: OUT -&gt; @jean_philanthrope (4; implied family - 'La Jeanconde', 'Your father'). Also tags @dualipa (real singer) as a joke.</t>
  </si>
  <si>
    <t xml:space="preserve">OBSERVED: NONE on this account. Copycat @brigitte_macaron_ (268 followers) shows '$MACARON'</t>
  </si>
  <si>
    <t xml:space="preserve">$MADAME</t>
  </si>
  <si>
    <t xml:space="preserve">brigittemacaron.com</t>
  </si>
  <si>
    <t xml:space="preserve">YES - OBSERVED last post 2026-10-08.</t>
  </si>
  <si>
    <t xml:space="preserve">INFERRED: First female lead of the wave and the only one with an interactive audience mechanic (outfit votes); IG is a secondary channel to TikTok.</t>
  </si>
  <si>
    <t xml:space="preserve">PARODY name of a real public figure (Brigitte Macron). This is an AI character, NOT the real person; no affiliation shown. Reputational/legal risk for an index using the name.</t>
  </si>
  <si>
    <t xml:space="preserve">@brigitte_macaron_ (268 followers, '$MACARON', copycat - EXCLUDED); @brigittemacaron__ (298, 1 post); @_brigitte._.macaron_ ('Gone').</t>
  </si>
  <si>
    <t xml:space="preserve">https://www.instagram.com/p/DdwN0y8t_Xg/ debut
https://www.instagram.com/p/DeEZ0sEN_Hy/ top (TikTok milestone)
https://www.instagram.com/p/Dd6t_drNhuS/ 'La Jeanconde'
https://www.instagram.com/p/Dd6B7oYNEhb/ Fashion Week</t>
  </si>
  <si>
    <t xml:space="preserve">Bill Smith Prince</t>
  </si>
  <si>
    <t xml:space="preserve">bill_smith_prince</t>
  </si>
  <si>
    <t xml:space="preserve">https://www.instagram.com/bill_smith_prince/</t>
  </si>
  <si>
    <t xml:space="preserve">OBSERVED: last post 2026-10-02; 0 posts in the 7 days before capture. Recent posts ~1-9K likes vs ~30K average before 09-25.</t>
  </si>
  <si>
    <t xml:space="preserve">OBSERVED: earliest post dated 2026-09-22 (full 12/12 history loaded; e.g. 'Sorry not sorry you are still early #boxer').</t>
  </si>
  <si>
    <t xml:space="preserve">OBSERVED (bio verbatim): Official $BillSmith / Ca:zYiF3rA8aWYUuDek3Z3po9NF4V5UDky5nji7Wr6pump / Made with @higgsfield.ai</t>
  </si>
  <si>
    <t xml:space="preserve">OBSERVED: 'If you cross me hold your cross very tight', 'Sorry not sorry you are still early #boxer'. INFERRED: menacing-but-fashionable boxer, crypto-shill voice ('you are still early')</t>
  </si>
  <si>
    <t xml:space="preserve">OBSERVED: long white-blond hair, pale skin, burgundy suit + tie; street and phone-review clips</t>
  </si>
  <si>
    <t xml:space="preserve">OBSERVED: 9 Reels + 3 other</t>
  </si>
  <si>
    <t xml:space="preserve">OBSERVED: boxing/gang hashtags; Gucci suit jokes; 'still early' crypto phrasing</t>
  </si>
  <si>
    <t xml:space="preserve">OBSERVED: 1) https://www.instagram.com/p/Ddqo1FvtNyH/ 2026-09-24 'No way he will survive this @gucci make me a new suit…' - 52,286 likes / 1,767 comments; 2) https://www.instagram.com/p/DdoPdKptxDF/ 09-23 'If you cross me hold your cross very tight' - 48,274 / 7,122; 3) https://www.instagram.com/p/DdmSujhN2mt/ 09-22 'Sorry not sorry you are still early' - 47,869 / 2,719</t>
  </si>
  <si>
    <t xml:space="preserve">OBSERVED: the three posts above are Reels; https://www.instagram.com/p/DdtyIBLt2oE/ 09-25 9,256 (best in last 14 days). 9 Reels of 12 posts.</t>
  </si>
  <si>
    <t xml:space="preserve">OBSERVED: 7,122 comments on one reel (09-23) - highest comments-per-follower of any seed. No 100K+ post.</t>
  </si>
  <si>
    <t xml:space="preserve">UNKNOWN - Gucci tagged, no partnership label</t>
  </si>
  <si>
    <t xml:space="preserve">OBSERVED: none (only @gucci and @demna - brand/real designer).</t>
  </si>
  <si>
    <t xml:space="preserve">OBSERVED: $BillSmith + Solana contract address (…pump) in bio</t>
  </si>
  <si>
    <t xml:space="preserve">$FRESHBILL</t>
  </si>
  <si>
    <t xml:space="preserve">SLOWING - OBSERVED last post 2026-10-02 (7 days before capture).</t>
  </si>
  <si>
    <t xml:space="preserve">INFERRED: Clearest 'character-as-token-wrapper' case: contract address in bio from day one; small audience but high comment counts on early posts (7,122 on one reel).</t>
  </si>
  <si>
    <t xml:space="preserve">Original fictional character; name not tied to an identified real person.</t>
  </si>
  <si>
    <t xml:space="preserve">UNKNOWN - no copycats found in search ('bill smith' search returns unrelated real people incl. @willsmith).</t>
  </si>
  <si>
    <t xml:space="preserve">https://www.instagram.com/p/DdmSujhN2mt/ early
https://www.instagram.com/p/DdoPdKptxDF/
https://www.instagram.com/p/Ddqo1FvtNyH/ top (Gucci joke)
https://www.instagram.com/p/DdtyIBLt2oE/</t>
  </si>
  <si>
    <t xml:space="preserve">Legend: OBSERVED = seen on Instagram; INFERRED = analyst interpretation; UNKNOWN = not verifiable on Instagram. Green numbers are live links to ALL CANDIDATES. Snapshot 2026-10-09.</t>
  </si>
  <si>
    <t xml:space="preserve">ID</t>
  </si>
  <si>
    <t xml:space="preserve">Name</t>
  </si>
  <si>
    <t xml:space="preserve">Handle</t>
  </si>
  <si>
    <t xml:space="preserve">Profile URL</t>
  </si>
  <si>
    <t xml:space="preserve">Group</t>
  </si>
  <si>
    <t xml:space="preserve">Inclusion status</t>
  </si>
  <si>
    <t xml:space="preserve">Status reason / caveat</t>
  </si>
  <si>
    <t xml:space="preserve">Character type</t>
  </si>
  <si>
    <t xml:space="preserve">Origin / wave</t>
  </si>
  <si>
    <t xml:space="preserve">Verified badge (Y/N)</t>
  </si>
  <si>
    <t xml:space="preserve">Followers</t>
  </si>
  <si>
    <t xml:space="preserve">Following</t>
  </si>
  <si>
    <t xml:space="preserve">Posts (media count)</t>
  </si>
  <si>
    <t xml:space="preserve">Posts analysed</t>
  </si>
  <si>
    <t xml:space="preserve">Full history loaded?</t>
  </si>
  <si>
    <t xml:space="preserve">First visible post date</t>
  </si>
  <si>
    <t xml:space="preserve">First-date basis</t>
  </si>
  <si>
    <t xml:space="preserve">Last post date</t>
  </si>
  <si>
    <t xml:space="preserve">Days since last post</t>
  </si>
  <si>
    <t xml:space="preserve">Posts last 7d</t>
  </si>
  <si>
    <t xml:space="preserve">Posts last 14d</t>
  </si>
  <si>
    <t xml:space="preserve">Posts last 30d</t>
  </si>
  <si>
    <t xml:space="preserve">Posting freq (posts/week, 14d)</t>
  </si>
  <si>
    <t xml:space="preserve">Avg likes (last 12)</t>
  </si>
  <si>
    <t xml:space="preserve">Median likes (last 12)</t>
  </si>
  <si>
    <t xml:space="preserve">Avg comments (last 12)</t>
  </si>
  <si>
    <t xml:space="preserve">Median comments (last 12)</t>
  </si>
  <si>
    <t xml:space="preserve">Likes hidden (of last 12)</t>
  </si>
  <si>
    <t xml:space="preserve">Engagement rate</t>
  </si>
  <si>
    <t xml:space="preserve">Engagement level</t>
  </si>
  <si>
    <t xml:space="preserve">Avg likes (14d)</t>
  </si>
  <si>
    <t xml:space="preserve">Avg comments (14d)</t>
  </si>
  <si>
    <t xml:space="preserve">Max likes (analysed posts)</t>
  </si>
  <si>
    <t xml:space="preserve">Top post URL</t>
  </si>
  <si>
    <t xml:space="preserve">Top post date</t>
  </si>
  <si>
    <t xml:space="preserve">Top post comments</t>
  </si>
  <si>
    <t xml:space="preserve">Top post caption / note</t>
  </si>
  <si>
    <t xml:space="preserve">Top 14d post likes</t>
  </si>
  <si>
    <t xml:space="preserve">Top 14d post URL</t>
  </si>
  <si>
    <t xml:space="preserve">Top 14d post date</t>
  </si>
  <si>
    <t xml:space="preserve">Bio (verbatim)</t>
  </si>
  <si>
    <t xml:space="preserve">Link in bio</t>
  </si>
  <si>
    <t xml:space="preserve">Ticker / token - Instagram observed</t>
  </si>
  <si>
    <t xml:space="preserve">Ticker - user supplied</t>
  </si>
  <si>
    <t xml:space="preserve">Ticker - external (non-IG)</t>
  </si>
  <si>
    <t xml:space="preserve">Related accounts (IG tags / mentions, count)</t>
  </si>
  <si>
    <t xml:space="preserve">Personality / archetype</t>
  </si>
  <si>
    <t xml:space="preserve">Visual style</t>
  </si>
  <si>
    <t xml:space="preserve">Content format</t>
  </si>
  <si>
    <t xml:space="preserve">Notes / evidence</t>
  </si>
  <si>
    <t xml:space="preserve">INPUT Recognizability (0-5)</t>
  </si>
  <si>
    <t xml:space="preserve">INPUT Distinct: visual (0-5)</t>
  </si>
  <si>
    <t xml:space="preserve">INPUT Distinct: personality (0-5)</t>
  </si>
  <si>
    <t xml:space="preserve">INPUT Distinct: lore (0-5)</t>
  </si>
  <si>
    <t xml:space="preserve">INPUT Distinct: cross-character (0-5)</t>
  </si>
  <si>
    <t xml:space="preserve">F: followers (0-1)</t>
  </si>
  <si>
    <t xml:space="preserve">F: engagement (0-1)</t>
  </si>
  <si>
    <t xml:space="preserve">F: viral (0-1)</t>
  </si>
  <si>
    <t xml:space="preserve">F: consistency (0-1)</t>
  </si>
  <si>
    <t xml:space="preserve">F: longevity (0-1)</t>
  </si>
  <si>
    <t xml:space="preserve">F: recognizability (0-1)</t>
  </si>
  <si>
    <t xml:space="preserve">FAME SCORE (0-100)</t>
  </si>
  <si>
    <t xml:space="preserve">M: recent engagement (0-1)</t>
  </si>
  <si>
    <t xml:space="preserve">M: recent viral (0-1)</t>
  </si>
  <si>
    <t xml:space="preserve">M: frequency (0-1)</t>
  </si>
  <si>
    <t xml:space="preserve">M: growth (0-1)</t>
  </si>
  <si>
    <t xml:space="preserve">M: recency (0-1)</t>
  </si>
  <si>
    <t xml:space="preserve">MOMENTUM SCORE (0-100)</t>
  </si>
  <si>
    <t xml:space="preserve">DISTINCTIVENESS SCORE (0-100)</t>
  </si>
  <si>
    <t xml:space="preserve">Data sufficiency (0-1)</t>
  </si>
  <si>
    <t xml:space="preserve">INDEX CANDIDATE SCORE (0-100)</t>
  </si>
  <si>
    <t xml:space="preserve">rank key: fame</t>
  </si>
  <si>
    <t xml:space="preserve">rank key: momentum</t>
  </si>
  <si>
    <t xml:space="preserve">rank key: distinct</t>
  </si>
  <si>
    <t xml:space="preserve">rank key: index</t>
  </si>
  <si>
    <t xml:space="preserve">Why it matters</t>
  </si>
  <si>
    <t xml:space="preserve">SEED</t>
  </si>
  <si>
    <t xml:space="preserve">INCLUDED</t>
  </si>
  <si>
    <t xml:space="preserve">Parody French gentleman-boxer (AI-generated human character)</t>
  </si>
  <si>
    <t xml:space="preserve">Sep-2026 AI character / memecoin wave</t>
  </si>
  <si>
    <t xml:space="preserve">N</t>
  </si>
  <si>
    <t xml:space="preserve">YES (12/12)</t>
  </si>
  <si>
    <t xml:space="preserve">Full history loaded - first post</t>
  </si>
  <si>
    <t xml:space="preserve">https://www.instagram.com/p/Ddb0QUyqnhG/</t>
  </si>
  <si>
    <t xml:space="preserve">Elle m'appelle le soir, elle t'appelle bout d'chou</t>
  </si>
  <si>
    <t xml:space="preserve">https://www.instagram.com/p/Ddy7hfsiPyt/</t>
  </si>
  <si>
    <t xml:space="preserve">Oui Madame.</t>
  </si>
  <si>
    <t xml:space="preserve">NONE observed in bio/captions</t>
  </si>
  <si>
    <t xml:space="preserve">IN: archibald_brown (9 mentions, rivalry), brigittemacaron_ (4), imranpoppadumb (4), derek.mercer.2006 (2), dequavious_von (2), jadeorlhabit_ (bio 'Love U'), brigitte_macaron_ (2). OUT: stellamccartney (2, brand), lafeve7 (2, real rapper - music)</t>
  </si>
  <si>
    <t xml:space="preserve">Debut 2026-09-17; peak 09-18..09-22 (two reels with 921K and 1.71M likes); October posts 6-9K likes. 'jeanphilanthrope.co' (250K followers, 'Evil Twin') is a separate promo/copycat account - EXCLUDED.</t>
  </si>
  <si>
    <t xml:space="preserve">Patient zero of the Sep-2026 AI-character wave: 1.7M-like reel within 2 days of debut; the hub most other characters tag or call out.</t>
  </si>
  <si>
    <t xml:space="preserve">Absurd-proportion dancing gentleman (AI-generated human)</t>
  </si>
  <si>
    <t xml:space="preserve">YES (15/15)</t>
  </si>
  <si>
    <t xml:space="preserve">https://www.instagram.com/p/Dd2joiwTDJv/</t>
  </si>
  <si>
    <t xml:space="preserve">Dancing with friends (pinned)</t>
  </si>
  <si>
    <t xml:space="preserve">https://www.instagram.com/p/Dd4BE9nMR7M/</t>
  </si>
  <si>
    <t xml:space="preserve">Hello Darling / ⚠️No crypto affiliation yet⚠️</t>
  </si>
  <si>
    <t xml:space="preserve">NONE - bio explicitly says 'No crypto affiliation yet'</t>
  </si>
  <si>
    <t xml:space="preserve">No fictional-character tags/mentions observed in 15 posts</t>
  </si>
  <si>
    <t xml:space="preserve">Viral bar-dance reel 09-29 (846K likes / 76K comments; pinned). Pinned 10-07 post announces song 'Shut It' on streaming; 10-07 teaser 'Something big and fun is coming'.</t>
  </si>
  <si>
    <t xml:space="preserve">Most visually distinctive body-horror-comedy design of the wave; first character to move into music (single 'Shut It').</t>
  </si>
  <si>
    <t xml:space="preserve">Parody of a third-party fictional character (Shrek) - IP/brand risk for an index</t>
  </si>
  <si>
    <t xml:space="preserve">AI parody of an existing film character, trend-dancing</t>
  </si>
  <si>
    <t xml:space="preserve">YES (57/57 on first pass)</t>
  </si>
  <si>
    <t xml:space="preserve">https://www.instagram.com/p/DdwhswgBSFq/</t>
  </si>
  <si>
    <t xml:space="preserve">Feeling fresh</t>
  </si>
  <si>
    <t xml:space="preserve">Some of you may die, but that is a sacrifice I am willing to make / Email: lordfarquaadbusiness@gmail.com / Made with @higgsfield.ai</t>
  </si>
  <si>
    <t xml:space="preserve">NONE in bio/captions; handle suffix '.sol' suggests Solana link (INFERRED)</t>
  </si>
  <si>
    <t xml:space="preserve">higgsfield.ai (7), higgsfield.creators (2), higgsfield.soul (1) - AI tool sponsor, not characters</t>
  </si>
  <si>
    <t xml:space="preserve">Peak week 09-24..30 (21 posts, avg 50,981 likes) -&gt; 10-05..09 (16 posts, avg 4,870). NOT the DreamWorks character itself - fan/AI parody.</t>
  </si>
  <si>
    <t xml:space="preserve">Highest posting cadence of any seed and an explicit AI-tool sponsorship - shows the brand-deal business model; borrowed IP limits index suitability.</t>
  </si>
  <si>
    <t xml:space="preserve">British boxer / trash-talking rival (AI-generated human)</t>
  </si>
  <si>
    <t xml:space="preserve">YES (56/56)</t>
  </si>
  <si>
    <t xml:space="preserve">https://www.instagram.com/p/DdmQOpyMNfr/</t>
  </si>
  <si>
    <t xml:space="preserve">Send me a dm for coaching</t>
  </si>
  <si>
    <t xml:space="preserve">https://www.instagram.com/p/DdzwiRxMIMU/</t>
  </si>
  <si>
    <t xml:space="preserve">DM if you need the 101 on throwing hands? 🥊</t>
  </si>
  <si>
    <t xml:space="preserve">NONE observed</t>
  </si>
  <si>
    <t xml:space="preserve">OUT: jean_philanthrope (9; rivalry), abunuttyofficial (3; 'you're next'), danawhite (3, real), anthonyjoshua (12, real), jonnybones (7, real), ___johnjones___ (5), miketyson (1, real), mighty (13, unknown). IN: percival_ashcrofttt (3)</t>
  </si>
  <si>
    <t xml:space="preserve">Tags real athletes for storyline - these are NOT endorsements. Peak pre-09-24 (18 posts avg 90,924 likes); October ~1-2K likes.</t>
  </si>
  <si>
    <t xml:space="preserve">The storyline engine of the wave: rivalry with Jean Phil, cross-over call-outs to the AI-animal fighters (Abu Nutty, Casper). Strong lore, weak recent engagement.</t>
  </si>
  <si>
    <t xml:space="preserve">Gulf-style dancing comedian (AI-generated human)</t>
  </si>
  <si>
    <t xml:space="preserve">YES (27/27)</t>
  </si>
  <si>
    <t xml:space="preserve">https://www.instagram.com/p/Dduf1zGNri-/</t>
  </si>
  <si>
    <t xml:space="preserve">Throwback to when i won red bull dance</t>
  </si>
  <si>
    <t xml:space="preserve">Dancer | Actor | Comedian / Road to 1M followers 😁 (0.52/1M) / Official $ABU👇</t>
  </si>
  <si>
    <t xml:space="preserve">$ABU (bio + 10-02 carousel '$ABU Officially on Chain 🚀')</t>
  </si>
  <si>
    <t xml:space="preserve">IN: imranpoppadumb (2). No outbound character tags observed</t>
  </si>
  <si>
    <t xml:space="preserve">Largest seed by followers. First 5 days (09-25..29) produced 1.39M, 874K and 527K-like reels; October posts 1-81K likes.</t>
  </si>
  <si>
    <t xml:space="preserve">Biggest audience among seeds (531K in 14 days) and the clearest IG-native token link ($ABU + pump.fun link in bio).</t>
  </si>
  <si>
    <t xml:space="preserve">Parody of a real public figure's name (Brigitte Macron) - NOT that person</t>
  </si>
  <si>
    <t xml:space="preserve">Parisian 'auntie' fashion persona (AI-generated human)</t>
  </si>
  <si>
    <t xml:space="preserve">YES (18/18)</t>
  </si>
  <si>
    <t xml:space="preserve">https://www.instagram.com/p/DeEZ0sEN_Hy/</t>
  </si>
  <si>
    <t xml:space="preserve">200K Macaronies on TikTok, in less than 1 week...</t>
  </si>
  <si>
    <t xml:space="preserve">TikTok: brigittemacaron_ (300K) / Tomorrow's outfit. I'm letting you decide 👇🏻</t>
  </si>
  <si>
    <t xml:space="preserve">NONE on this account. Copycat @brigitte_macaron_ (268 followers) shows '$MACARON'</t>
  </si>
  <si>
    <t xml:space="preserve">OUT: jean_philanthrope (4; 'La Jeanconde', 'your father' lore), dualipa (3, real singer)</t>
  </si>
  <si>
    <t xml:space="preserve">Likes are HIDDEN on 14/18 posts (API returns placeholder 3) -&gt; avg likes uses the 4 visible posts. Main audience is TikTok (300K per bio). Two IG accounts exist: brigittemacaron_ (primary: website + TikTok link) and brigitte_macaron_ (copycat).</t>
  </si>
  <si>
    <t xml:space="preserve">First female lead of the wave and the only one with an interactive audience mechanic (outfit votes); IG is a secondary channel to TikTok.</t>
  </si>
  <si>
    <t xml:space="preserve">Platinum-haired boxing 'prince' / fashion gangster (AI-generated human)</t>
  </si>
  <si>
    <t xml:space="preserve">https://www.instagram.com/p/Ddqo1FvtNyH/</t>
  </si>
  <si>
    <t xml:space="preserve">No way he will survive this @gucci make me a new suit...</t>
  </si>
  <si>
    <t xml:space="preserve">https://www.instagram.com/p/DdtyIBLt2oE/</t>
  </si>
  <si>
    <t xml:space="preserve">Official $BillSmith / Ca:zYiF3rA8aWYUuDek3Z3po9NF4V5UDky5nji7Wr6pump / Made with @higgsfield.ai</t>
  </si>
  <si>
    <t xml:space="preserve">$BillSmith + Solana contract address (…pump) in bio</t>
  </si>
  <si>
    <t xml:space="preserve">OUT: gucci (5, brand), demna (1, real designer). No fictional-character tags</t>
  </si>
  <si>
    <t xml:space="preserve">No posts since 2026-10-02 (7 days at capture) -&gt; cooling. Ticker on IG ($BillSmith) differs from the user-supplied $FRESHBILL.</t>
  </si>
  <si>
    <t xml:space="preserve">Clearest 'character-as-token-wrapper' case: contract address in bio from day one; small audience but high comment counts on early posts (7,122 on one reel).</t>
  </si>
  <si>
    <t xml:space="preserve">Derek Mercer</t>
  </si>
  <si>
    <t xml:space="preserve">derek.mercer.2006</t>
  </si>
  <si>
    <t xml:space="preserve">https://www.instagram.com/derek.mercer.2006/</t>
  </si>
  <si>
    <t xml:space="preserve">DISCOVERED</t>
  </si>
  <si>
    <t xml:space="preserve">Long-haired hyper-muscular gym bro (AI human)</t>
  </si>
  <si>
    <t xml:space="preserve">Y</t>
  </si>
  <si>
    <t xml:space="preserve">PARTIAL (24/30 returned)</t>
  </si>
  <si>
    <t xml:space="preserve">Oldest of 24 returned posts</t>
  </si>
  <si>
    <t xml:space="preserve">https://www.instagram.com/p/Dd1y2m2sMRB/</t>
  </si>
  <si>
    <t xml:space="preserve">Remember your gym bro.</t>
  </si>
  <si>
    <t xml:space="preserve">Σ / CA: 7Xgc5RacHtGzfhw2HukUBk5V986yBbvshr7rrCoopump</t>
  </si>
  <si>
    <t xml:space="preserve">derekmercer2006.com (earlier: join.pump.fun/HSag/6yv0t32g); Threads @derek.mercer.2006</t>
  </si>
  <si>
    <t xml:space="preserve">Contract address (…pump) in bio</t>
  </si>
  <si>
    <t xml:space="preserve">$DRMR per Dexerto/Sprites.ai</t>
  </si>
  <si>
    <t xml:space="preserve">jean_philanthrope (2), sickmanai (2), monsterenergy (4, brand), higgsfield.ai (3), fortnite (brand); grid shows Higgsfield 'AI INFLUENCER - short drama' crossover poster</t>
  </si>
  <si>
    <t xml:space="preserve">OBSERVED: sigma/gym captions ('He was mogged.', 'Pumping with GIGACAT'). INFERRED: looksmaxxing gym-bro meme</t>
  </si>
  <si>
    <t xml:space="preserve">OBSERVED: black emo hair over eyes, cartoonishly huge muscles, Monster Energy outfit</t>
  </si>
  <si>
    <t xml:space="preserve">Reels</t>
  </si>
  <si>
    <t xml:space="preserve">Highest single-post likes in the dataset (3.15M). Verified badge.</t>
  </si>
  <si>
    <t xml:space="preserve">Breakout of the wave: 3.15M-like reel, verified badge, brand-style Monster Energy content, crossovers with Jean Phil and Sickman.</t>
  </si>
  <si>
    <t xml:space="preserve">Abu Nutty</t>
  </si>
  <si>
    <t xml:space="preserve">abunuttyofficial</t>
  </si>
  <si>
    <t xml:space="preserve">https://www.instagram.com/abunuttyofficial/</t>
  </si>
  <si>
    <t xml:space="preserve">Undefeated AI monkey MMA fighter</t>
  </si>
  <si>
    <t xml:space="preserve">AI-animal fighter universe (Higgsfield creators)</t>
  </si>
  <si>
    <t xml:space="preserve">PARTIAL (32/52)</t>
  </si>
  <si>
    <t xml:space="preserve">Oldest of 32 sampled posts</t>
  </si>
  <si>
    <t xml:space="preserve">(max seen in 32-post sample; code not captured). Best captured: DdrXuZJR431 09-24 293,316 likes</t>
  </si>
  <si>
    <t xml:space="preserve">https://www.instagram.com/p/Dd9effMAN2F/</t>
  </si>
  <si>
    <t xml:space="preserve">Undefeated 6-0 / Follow for more Abu Nutty! / Higgsfield Creative Partner 🧩 / MERCH ON SALE NOW!</t>
  </si>
  <si>
    <t xml:space="preserve">linktr.ee/abunutty</t>
  </si>
  <si>
    <t xml:space="preserve">casper.iggy (5), candy.greyhound (4), don.gorillo (2), pik.vik1 (2), ia.vacalha (2); called out by archibald_brown</t>
  </si>
  <si>
    <t xml:space="preserve">OBSERVED: fight-record persona ('TIME TO TAKE THE BELT #ufc #monkey'). INFERRED: cocky champion</t>
  </si>
  <si>
    <t xml:space="preserve">INFERRED from captions: monkey fighter in UFC-style settings</t>
  </si>
  <si>
    <t xml:space="preserve">Reels; fight-night storylines</t>
  </si>
  <si>
    <t xml:space="preserve">Merch store + Higgsfield Creative Partner. Hub of the AI-animal fight league.</t>
  </si>
  <si>
    <t xml:space="preserve">Hub of a multi-character AI fight league (Casper, Candy, Don Gorillo) with a running win-loss record and merch.</t>
  </si>
  <si>
    <t xml:space="preserve">Casper the Italian Greyhound</t>
  </si>
  <si>
    <t xml:space="preserve">casper.iggy</t>
  </si>
  <si>
    <t xml:space="preserve">https://www.instagram.com/casper.iggy/</t>
  </si>
  <si>
    <t xml:space="preserve">AI dog fighter / 'ordinary' greyhound</t>
  </si>
  <si>
    <t xml:space="preserve">PARTIAL (22/66)</t>
  </si>
  <si>
    <t xml:space="preserve">Oldest of 22 sampled posts</t>
  </si>
  <si>
    <t xml:space="preserve">https://www.instagram.com/p/Dd85audNoC2/</t>
  </si>
  <si>
    <t xml:space="preserve">Casper...</t>
  </si>
  <si>
    <t xml:space="preserve">Just an ordinary Italian Greyhound 🐾 / Collabs: caspertheiggy@gmail.com / AI tools I use ⬇️</t>
  </si>
  <si>
    <t xml:space="preserve">(AI tools link)</t>
  </si>
  <si>
    <t xml:space="preserve">abunuttyofficial (4); referenced by archibald_brown ('Casper was the warm-up') and don.gorillo</t>
  </si>
  <si>
    <t xml:space="preserve">INFERRED: underdog fighter dog</t>
  </si>
  <si>
    <t xml:space="preserve">INFERRED: Italian greyhound in fight/human settings</t>
  </si>
  <si>
    <t xml:space="preserve">Highest recent average likes among AI-animal characters (130K over last 14 days).</t>
  </si>
  <si>
    <t xml:space="preserve">Strongest current engagement in the fight-league universe; appears in other characters' storylines.</t>
  </si>
  <si>
    <t xml:space="preserve">Candy the Greyhound</t>
  </si>
  <si>
    <t xml:space="preserve">candy.greyhound</t>
  </si>
  <si>
    <t xml:space="preserve">https://www.instagram.com/candy.greyhound/</t>
  </si>
  <si>
    <t xml:space="preserve">AI greyhound fighter ('best fighter in the world')</t>
  </si>
  <si>
    <t xml:space="preserve">PARTIAL (22/65)</t>
  </si>
  <si>
    <t xml:space="preserve">Pinned post date (oldest in sample)</t>
  </si>
  <si>
    <t xml:space="preserve">https://www.instagram.com/p/Dct28DASFLp/</t>
  </si>
  <si>
    <t xml:space="preserve">Hold... (pinned)</t>
  </si>
  <si>
    <t xml:space="preserve">https://www.instagram.com/p/Dd94Av3RhS0/</t>
  </si>
  <si>
    <t xml:space="preserve">Sharing my side quests / Best fighter in the world / Higgsfield Creative Partner</t>
  </si>
  <si>
    <t xml:space="preserve">higgsfield.ai (14), malysh_bully (6), valterwalkerufc (3, real), askvenice (3), k.mbappe (real); tagged by abunuttyofficial, sickmanai, ia.vacalha, caramelinho.ia, pik.vik1, evildogi</t>
  </si>
  <si>
    <t xml:space="preserve">OBSERVED: '$1M prize challenge 🥊', 'With the big boss @danawhite'</t>
  </si>
  <si>
    <t xml:space="preserve">INFERRED: greyhound in fight settings</t>
  </si>
  <si>
    <t xml:space="preserve">Most-tagged animal character across the AI-animal accounts.</t>
  </si>
  <si>
    <t xml:space="preserve">Most cross-referenced node of the AI-animal universe; verified.</t>
  </si>
  <si>
    <t xml:space="preserve">Don Gorillo Mkrtchyan</t>
  </si>
  <si>
    <t xml:space="preserve">don.gorillo</t>
  </si>
  <si>
    <t xml:space="preserve">https://www.instagram.com/don.gorillo/</t>
  </si>
  <si>
    <t xml:space="preserve">Armenian gorilla UFC fighter</t>
  </si>
  <si>
    <t xml:space="preserve">PARTIAL (22/36)</t>
  </si>
  <si>
    <t xml:space="preserve">https://www.instagram.com/p/Ddvayy5Otjf/</t>
  </si>
  <si>
    <t xml:space="preserve">don't m...</t>
  </si>
  <si>
    <t xml:space="preserve">Armenian blood. Gorilla mentality. / Follow me before I get famous. / UFC RECORD 2-0</t>
  </si>
  <si>
    <t xml:space="preserve">abunuttyofficial (2), casper.iggy (2), ufc, jonnybones (real)</t>
  </si>
  <si>
    <t xml:space="preserve">OBSERVED: 'Biggest win of my life', 'I'M COMING HOME 🇦🇲'</t>
  </si>
  <si>
    <t xml:space="preserve">INFERRED: gorilla fighter</t>
  </si>
  <si>
    <t xml:space="preserve">Small but high-frequency (15 posts / 7 days).</t>
  </si>
  <si>
    <t xml:space="preserve">Shows the league expanding with new fighters and records.</t>
  </si>
  <si>
    <t xml:space="preserve">Milton Bumford</t>
  </si>
  <si>
    <t xml:space="preserve">miltonbumford</t>
  </si>
  <si>
    <t xml:space="preserve">https://www.instagram.com/miltonbumford/</t>
  </si>
  <si>
    <t xml:space="preserve">Self-declared AI parody - flashy car guy 'Fleetwood Freak'</t>
  </si>
  <si>
    <t xml:space="preserve">PARTIAL (12/31)</t>
  </si>
  <si>
    <t xml:space="preserve">Oldest of 12 sampled posts</t>
  </si>
  <si>
    <t xml:space="preserve">https://www.instagram.com/p/Dd0ONAHuI9A/</t>
  </si>
  <si>
    <t xml:space="preserve">Spin...</t>
  </si>
  <si>
    <t xml:space="preserve">https://www.instagram.com/p/Dd8FTD8OSAo/</t>
  </si>
  <si>
    <t xml:space="preserve">Standing on Bumford Business / Comedy/parody (AI) / Made With @higgsfield.ai / Create Videos Just...</t>
  </si>
  <si>
    <t xml:space="preserve">miltonbumford.com/create</t>
  </si>
  <si>
    <t xml:space="preserve">higgsfield.ai (7), cadillac (brand), zaytovenbeatz (real producer); tagged by imranpoppadumb</t>
  </si>
  <si>
    <t xml:space="preserve">OBSERVED: 'NEW CAR 🚨 The Fleetwood Freak', 'I got them Cadillac 7s on me'</t>
  </si>
  <si>
    <t xml:space="preserve">INFERRED: vintage-Cadillac hustler</t>
  </si>
  <si>
    <t xml:space="preserve">Explicitly labels itself 'Comedy/parody (AI)'. Link sells an AI-video template.</t>
  </si>
  <si>
    <t xml:space="preserve">Transparent AI-parody labelling + monetised 'create videos like me' funnel.</t>
  </si>
  <si>
    <t xml:space="preserve">Sickman</t>
  </si>
  <si>
    <t xml:space="preserve">sickmanai</t>
  </si>
  <si>
    <t xml:space="preserve">https://www.instagram.com/sickmanai/</t>
  </si>
  <si>
    <t xml:space="preserve">AI knight-cat warrior of 'meow island'</t>
  </si>
  <si>
    <t xml:space="preserve">Crypto-linked AI animal</t>
  </si>
  <si>
    <t xml:space="preserve">PARTIAL (22/109)</t>
  </si>
  <si>
    <t xml:space="preserve">https://www.instagram.com/p/DeHe2fKTvjr/</t>
  </si>
  <si>
    <t xml:space="preserve">Tag t...</t>
  </si>
  <si>
    <t xml:space="preserve">https://www.instagram.com/p/DeHpJF0tVOi/</t>
  </si>
  <si>
    <t xml:space="preserve">Protecting meow island with 9 lives / DYOR. No guarantees. / Official $Knightcat token on PUMPFUN</t>
  </si>
  <si>
    <t xml:space="preserve">pump.fun/coin/3Dgwn5…pump</t>
  </si>
  <si>
    <t xml:space="preserve">$Knightcat (bio) + pump.fun coin link</t>
  </si>
  <si>
    <t xml:space="preserve">evildogi (8), yesand_ai (5), candy.greyhound (4), capcutapp (4), higgsfield.creators; tagged by derek.mercer.2006</t>
  </si>
  <si>
    <t xml:space="preserve">OBSERVED: lore captions ('For five hundred years, no one fear...'), Korean-language captions</t>
  </si>
  <si>
    <t xml:space="preserve">INFERRED: armoured cat knight</t>
  </si>
  <si>
    <t xml:space="preserve">Reels, ~7 posts/day in sample</t>
  </si>
  <si>
    <t xml:space="preserve">Two 500K+ reels on 10-05 then ~5K average. Verified.</t>
  </si>
  <si>
    <t xml:space="preserve">Crypto-native character with a fantasy lore world and a live pump.fun token.</t>
  </si>
  <si>
    <t xml:space="preserve">Cuca Beludo</t>
  </si>
  <si>
    <t xml:space="preserve">ia.vacalha</t>
  </si>
  <si>
    <t xml:space="preserve">https://www.instagram.com/ia.vacalha/</t>
  </si>
  <si>
    <t xml:space="preserve">Brazilian AI character (creator hub of a mini-universe)</t>
  </si>
  <si>
    <t xml:space="preserve">Brazil AI character universe</t>
  </si>
  <si>
    <t xml:space="preserve">PARTIAL (12/175)</t>
  </si>
  <si>
    <t xml:space="preserve">https://www.instagram.com/p/DeK-uSCxbWx/</t>
  </si>
  <si>
    <t xml:space="preserve">Cuca ab...</t>
  </si>
  <si>
    <t xml:space="preserve">+100M de views nos últimos 30 dias / CPP: @higgsfield.ai, @syntx_ai e @roboneo_br / contato</t>
  </si>
  <si>
    <t xml:space="preserve">caramelinho.ia (8), candy.greyhound (6), higgsfield.ai (22)</t>
  </si>
  <si>
    <t xml:space="preserve">OBSERVED: serialized 'Parte 2' episodes featuring Caramelinho</t>
  </si>
  <si>
    <t xml:space="preserve">INFERRED: Brazilian comedic character</t>
  </si>
  <si>
    <t xml:space="preserve">Reels, serialized episodes</t>
  </si>
  <si>
    <t xml:space="preserve">Claims +100M views in 30 days (self-reported, bio).</t>
  </si>
  <si>
    <t xml:space="preserve">Brazilian-market AI universe with serialized episodes and a spin-off character (Caramelinho).</t>
  </si>
  <si>
    <t xml:space="preserve">Caramelinho</t>
  </si>
  <si>
    <t xml:space="preserve">caramelinho.ia</t>
  </si>
  <si>
    <t xml:space="preserve">https://www.instagram.com/caramelinho.ia/</t>
  </si>
  <si>
    <t xml:space="preserve">Brazilian 'caramelo' street-dog AI character (spin-off)</t>
  </si>
  <si>
    <t xml:space="preserve">YES (13/13)</t>
  </si>
  <si>
    <t xml:space="preserve">https://www.instagram.com/p/DeCKb4JIGeG/</t>
  </si>
  <si>
    <t xml:space="preserve">Cuca re...</t>
  </si>
  <si>
    <t xml:space="preserve">(empty)</t>
  </si>
  <si>
    <t xml:space="preserve">ia.vacalha (14), candy.greyhound (8), higgsfield.ai (23), roboneo_br</t>
  </si>
  <si>
    <t xml:space="preserve">OBSERVED: training/fight arcs ('Caramelinho treinando...')</t>
  </si>
  <si>
    <t xml:space="preserve">INFERRED: Brazilian caramel mutt</t>
  </si>
  <si>
    <t xml:space="preserve">Launched 2026-10-03 as a spin-off of Cuca Beludo.</t>
  </si>
  <si>
    <t xml:space="preserve">Clean example of a spin-off character launched from an existing AI universe; full history available.</t>
  </si>
  <si>
    <t xml:space="preserve">Abu Yalla</t>
  </si>
  <si>
    <t xml:space="preserve">abu.yalla</t>
  </si>
  <si>
    <t xml:space="preserve">https://www.instagram.com/abu.yalla/</t>
  </si>
  <si>
    <t xml:space="preserve">Arab-uncle dancer (AI human) - Abu Shalab-style</t>
  </si>
  <si>
    <t xml:space="preserve">PARTIAL (12/13)</t>
  </si>
  <si>
    <t xml:space="preserve">https://www.instagram.com/p/Dd62X7dJbCD/</t>
  </si>
  <si>
    <t xml:space="preserve">🫶 (pinned)</t>
  </si>
  <si>
    <t xml:space="preserve">https://www.instagram.com/p/Dd9YfOIRK85/</t>
  </si>
  <si>
    <t xml:space="preserve">made with @higgsfield.ai / the shoulders speak🕺🏽 / Road to 100k yalla followers [67k/100k]</t>
  </si>
  <si>
    <t xml:space="preserve">higgsfield.ai (1)</t>
  </si>
  <si>
    <t xml:space="preserve">OBSERVED: 'the shoulders speak', 'yalla saturday'</t>
  </si>
  <si>
    <t xml:space="preserve">INFERRED: shoulder-dancing uncle</t>
  </si>
  <si>
    <t xml:space="preserve">Closely mirrors Abu Shalab's format.</t>
  </si>
  <si>
    <t xml:space="preserve">Shows how fast a successful archetype (Abu Shalab) gets cloned.</t>
  </si>
  <si>
    <t xml:space="preserve">Abdoul Cheqri</t>
  </si>
  <si>
    <t xml:space="preserve">abdoul.cheqri</t>
  </si>
  <si>
    <t xml:space="preserve">https://www.instagram.com/abdoul.cheqri/</t>
  </si>
  <si>
    <t xml:space="preserve">Arab actor-dancer-comedian persona</t>
  </si>
  <si>
    <t xml:space="preserve">YES (19/19)</t>
  </si>
  <si>
    <t xml:space="preserve">https://www.instagram.com/p/Dd9RXFtIbr1/</t>
  </si>
  <si>
    <t xml:space="preserve">Yala... (pinned)</t>
  </si>
  <si>
    <t xml:space="preserve">https://www.instagram.com/p/Dd7IwUgMkba/</t>
  </si>
  <si>
    <t xml:space="preserve">الأصل موجود، والباقي يحاول 😏 / Actor • Dancer • Comedian / Born iconic. Here for the plot</t>
  </si>
  <si>
    <t xml:space="preserve">dahab.daddy (3), amidoudumont (1)</t>
  </si>
  <si>
    <t xml:space="preserve">OBSERVED: 'Why are they filming me', '#abdoulcheqri'</t>
  </si>
  <si>
    <t xml:space="preserve">UNKNOWN (not visually reviewed)</t>
  </si>
  <si>
    <t xml:space="preserve">AI status not declared on profile - classification INFERRED from format/archetype similarity to Abu Shalab.</t>
  </si>
  <si>
    <t xml:space="preserve">697K-like reel within 3 days of debut; same archetype as Abu Shalab.</t>
  </si>
  <si>
    <t xml:space="preserve">Percival Ashcroft</t>
  </si>
  <si>
    <t xml:space="preserve">percival_ashcrofttt</t>
  </si>
  <si>
    <t xml:space="preserve">https://www.instagram.com/percival_ashcrofttt/</t>
  </si>
  <si>
    <t xml:space="preserve">Posh British rival character (AI human)</t>
  </si>
  <si>
    <t xml:space="preserve">PARTIAL (32/49)</t>
  </si>
  <si>
    <t xml:space="preserve">https://www.instagram.com/p/Dd2EhVtx54d/</t>
  </si>
  <si>
    <t xml:space="preserve">Dance t...</t>
  </si>
  <si>
    <t xml:space="preserve">https://www.instagram.com/p/Dd_1HzNoS-L/</t>
  </si>
  <si>
    <t xml:space="preserve">Road to 100K 🚀 / Follow the journey. / Made in @higgsfield.ai</t>
  </si>
  <si>
    <t xml:space="preserve">pump.fun/coin/fw6UJ…pump</t>
  </si>
  <si>
    <t xml:space="preserve">pump.fun coin link in bio (ticker not shown)</t>
  </si>
  <si>
    <t xml:space="preserve">archibald_brown (3), egorov_matvey_ (4), sean.dynastyprosper (3), higgsfield.ai</t>
  </si>
  <si>
    <t xml:space="preserve">OBSERVED: 'I'll be coming for you soon...'</t>
  </si>
  <si>
    <t xml:space="preserve">Appears in IG suggested accounts next to archibald_brown.</t>
  </si>
  <si>
    <t xml:space="preserve">Secondary rival in the Archibald Brown storyline, with its own token link.</t>
  </si>
  <si>
    <t xml:space="preserve">Edmond Lebon</t>
  </si>
  <si>
    <t xml:space="preserve">edmond_lebon</t>
  </si>
  <si>
    <t xml:space="preserve">https://www.instagram.com/edmond_lebon/</t>
  </si>
  <si>
    <t xml:space="preserve">'Handsome and strong' French strongman (AI human)</t>
  </si>
  <si>
    <t xml:space="preserve">PARTIAL (12/20)</t>
  </si>
  <si>
    <t xml:space="preserve">https://www.instagram.com/p/Dd8LM0NscoW/</t>
  </si>
  <si>
    <t xml:space="preserve">Bring...</t>
  </si>
  <si>
    <t xml:space="preserve">Handsome and strong, what more could you ask for? $Edmond</t>
  </si>
  <si>
    <t xml:space="preserve">$Edmond (bio)</t>
  </si>
  <si>
    <t xml:space="preserve">none observed</t>
  </si>
  <si>
    <t xml:space="preserve">OBSERVED: 'Handsome and strong'; 'One of the most iconic duos'</t>
  </si>
  <si>
    <t xml:space="preserve">Ticker-in-bio character from the same wave; one 89K-like reel.</t>
  </si>
  <si>
    <t xml:space="preserve">Vulu Zamal</t>
  </si>
  <si>
    <t xml:space="preserve">vuluzamal</t>
  </si>
  <si>
    <t xml:space="preserve">https://www.instagram.com/vuluzamal/</t>
  </si>
  <si>
    <t xml:space="preserve">Paris dancer/singer/stylist persona</t>
  </si>
  <si>
    <t xml:space="preserve">YES (11/11)</t>
  </si>
  <si>
    <t xml:space="preserve">https://www.instagram.com/p/Dd5VDDURAPn/</t>
  </si>
  <si>
    <t xml:space="preserve">felt...</t>
  </si>
  <si>
    <t xml:space="preserve">ifa paris 22' / dancer | singer | stylist</t>
  </si>
  <si>
    <t xml:space="preserve">OBSERVED: 'It's all about pleasing the cr[owd]'</t>
  </si>
  <si>
    <t xml:space="preserve">AI status not declared - INFERRED from IG suggested-account clustering with the seeds.</t>
  </si>
  <si>
    <t xml:space="preserve">High likes per follower (194K reel on debut day).</t>
  </si>
  <si>
    <t xml:space="preserve">Imran Poppadumb</t>
  </si>
  <si>
    <t xml:space="preserve">imranpoppadumb</t>
  </si>
  <si>
    <t xml:space="preserve">https://www.instagram.com/imranpoppadumb/</t>
  </si>
  <si>
    <t xml:space="preserve">Dancing-for-peace character, crossover tagger</t>
  </si>
  <si>
    <t xml:space="preserve">PARTIAL (22/45)</t>
  </si>
  <si>
    <t xml:space="preserve">https://www.instagram.com/p/Dd9pUvWDT_0/</t>
  </si>
  <si>
    <t xml:space="preserve">gang got moves (pinned)</t>
  </si>
  <si>
    <t xml:space="preserve">https://www.instagram.com/p/DeEGSC_AFXs/</t>
  </si>
  <si>
    <t xml:space="preserve">poppadumb.com</t>
  </si>
  <si>
    <t xml:space="preserve">jean_philanthrope (4), abu.shalab (2), miltonbumford (2), derek.mercer.2006 (1)</t>
  </si>
  <si>
    <t xml:space="preserve">OBSERVED: 'dancing for worldwide peace ✌️'</t>
  </si>
  <si>
    <t xml:space="preserve">Recent engagement collapsed (~100 likes) despite 19 posts/week.</t>
  </si>
  <si>
    <t xml:space="preserve">Crossover connector between seed characters.</t>
  </si>
  <si>
    <t xml:space="preserve">Tony Ravioliano</t>
  </si>
  <si>
    <t xml:space="preserve">tony_ravioliano</t>
  </si>
  <si>
    <t xml:space="preserve">https://www.instagram.com/tony_ravioliano/</t>
  </si>
  <si>
    <t xml:space="preserve">Italian espresso aficionado</t>
  </si>
  <si>
    <t xml:space="preserve">PARTIAL (12/30)</t>
  </si>
  <si>
    <t xml:space="preserve">https://www.instagram.com/p/DeAQrgpT11j/</t>
  </si>
  <si>
    <t xml:space="preserve">Can yo... (pinned)</t>
  </si>
  <si>
    <t xml:space="preserve">https://www.instagram.com/p/Dd9rvZeTkeJ/</t>
  </si>
  <si>
    <t xml:space="preserve">Famous Espresso Aficionado / DM for promo inquiries / Now on Cameo for all Special Occasions</t>
  </si>
  <si>
    <t xml:space="preserve">cameo.com/tonyravioliano</t>
  </si>
  <si>
    <t xml:space="preserve">OBSERVED: 'Ready for the Olympics', 'Tip toe'n in my Jordan's!'</t>
  </si>
  <si>
    <t xml:space="preserve">Offers Cameo shout-outs; AI status not declared.</t>
  </si>
  <si>
    <t xml:space="preserve">Monetising via Cameo - a non-crypto revenue model.</t>
  </si>
  <si>
    <t xml:space="preserve">Don Nuger</t>
  </si>
  <si>
    <t xml:space="preserve">don_nuger</t>
  </si>
  <si>
    <t xml:space="preserve">https://www.instagram.com/don_nuger/</t>
  </si>
  <si>
    <t xml:space="preserve">Higgsfield-made comedic dancer</t>
  </si>
  <si>
    <t xml:space="preserve">PARTIAL (22/25)</t>
  </si>
  <si>
    <t xml:space="preserve">https://www.instagram.com/p/Dd-2uFShyCV/</t>
  </si>
  <si>
    <t xml:space="preserve">👇 Th...</t>
  </si>
  <si>
    <t xml:space="preserve">Hi, Fellas! Made with @higgsfield.ai</t>
  </si>
  <si>
    <t xml:space="preserve">devonlindner_ (4), dance_sfinks_official (2), robotron.bot (2)</t>
  </si>
  <si>
    <t xml:space="preserve">OBSERVED: 'Hi, Fellas!'</t>
  </si>
  <si>
    <t xml:space="preserve">Last-12 avg (794) far below 14-day avg (11,758): decaying.</t>
  </si>
  <si>
    <t xml:space="preserve">Example of a fast-fading wave character.</t>
  </si>
  <si>
    <t xml:space="preserve">Mr. Stretchy</t>
  </si>
  <si>
    <t xml:space="preserve">mr._stretchy</t>
  </si>
  <si>
    <t xml:space="preserve">https://www.instagram.com/mr._stretchy/</t>
  </si>
  <si>
    <t xml:space="preserve">Cozy AI storybook character (stretchy body)</t>
  </si>
  <si>
    <t xml:space="preserve">AI storytelling characters</t>
  </si>
  <si>
    <t xml:space="preserve">PARTIAL (22/97)</t>
  </si>
  <si>
    <t xml:space="preserve">https://www.instagram.com/p/DdW8lunNb70/</t>
  </si>
  <si>
    <t xml:space="preserve">🤨🍝</t>
  </si>
  <si>
    <t xml:space="preserve">https://www.instagram.com/p/DeAcjbDtnuT/</t>
  </si>
  <si>
    <t xml:space="preserve">little stories from a magical AI world / cozy characters • visual stories • AI art / ads &amp; promotions</t>
  </si>
  <si>
    <t xml:space="preserve">tiktok.com/@mr_.stretchy</t>
  </si>
  <si>
    <t xml:space="preserve">ms.stretchy (4), mahsunco (3, sponsor), ksenia_velart (3)</t>
  </si>
  <si>
    <t xml:space="preserve">OBSERVED: 'How did my feet fit in these shoes?'</t>
  </si>
  <si>
    <t xml:space="preserve">INFERRED: elastic-limbed cartoon man</t>
  </si>
  <si>
    <t xml:space="preserve">Reels; sponsored product placements</t>
  </si>
  <si>
    <t xml:space="preserve">Largest new-format AI character found (965K). Runs paid placements (Persian brand @mahsunco).</t>
  </si>
  <si>
    <t xml:space="preserve">Near-1M AI character with a partner character (Ms. Stretchy) and visible ad revenue.</t>
  </si>
  <si>
    <t xml:space="preserve">Ms. Stretchy</t>
  </si>
  <si>
    <t xml:space="preserve">ms.stretchy</t>
  </si>
  <si>
    <t xml:space="preserve">https://www.instagram.com/ms.stretchy/</t>
  </si>
  <si>
    <t xml:space="preserve">Partner character of Mr. Stretchy</t>
  </si>
  <si>
    <t xml:space="preserve">YES (10/10)</t>
  </si>
  <si>
    <t xml:space="preserve">https://www.instagram.com/p/DdH9RnPNA_3/</t>
  </si>
  <si>
    <t xml:space="preserve">🤪 @...</t>
  </si>
  <si>
    <t xml:space="preserve">https://www.instagram.com/p/Dd1GEHzt04I/</t>
  </si>
  <si>
    <t xml:space="preserve">Ms. Stretchy / little stories from a magical AI world / cozy characters</t>
  </si>
  <si>
    <t xml:space="preserve">ksenia_velart (3), adrielusho (2)</t>
  </si>
  <si>
    <t xml:space="preserve">INFERRED: playful counterpart to Mr. Stretchy</t>
  </si>
  <si>
    <t xml:space="preserve">INFERRED: elastic cartoon woman</t>
  </si>
  <si>
    <t xml:space="preserve">Very high likes per post vs followers.</t>
  </si>
  <si>
    <t xml:space="preserve">Shows an AI 'couple' franchise model.</t>
  </si>
  <si>
    <t xml:space="preserve">Pik Vik (Shadow &amp; Milo)</t>
  </si>
  <si>
    <t xml:space="preserve">pik.vik1</t>
  </si>
  <si>
    <t xml:space="preserve">https://www.instagram.com/pik.vik1/</t>
  </si>
  <si>
    <t xml:space="preserve">AI pet-story characters Shadow &amp; Milo</t>
  </si>
  <si>
    <t xml:space="preserve">PARTIAL (12/110)</t>
  </si>
  <si>
    <t xml:space="preserve">https://www.instagram.com/p/Dd6Anomgs5t/</t>
  </si>
  <si>
    <t xml:space="preserve">Shadow ...</t>
  </si>
  <si>
    <t xml:space="preserve">Pik Vik | Shadow 🐾 / AI Stories • Real Characters / Shadow &amp; Milo's World</t>
  </si>
  <si>
    <t xml:space="preserve">higgsfield.ai (13), candy.greyhound (2), k.mbappe (2, real); tagged by abunuttyofficial</t>
  </si>
  <si>
    <t xml:space="preserve">OBSERVED: 'Shadow &amp; Milo's World'</t>
  </si>
  <si>
    <t xml:space="preserve">INFERRED: dog/cat duo</t>
  </si>
  <si>
    <t xml:space="preserve">Verified.</t>
  </si>
  <si>
    <t xml:space="preserve">Verified pet-duo universe connected to the fight league.</t>
  </si>
  <si>
    <t xml:space="preserve">Lil Miquela</t>
  </si>
  <si>
    <t xml:space="preserve">lilmiquela</t>
  </si>
  <si>
    <t xml:space="preserve">https://www.instagram.com/lilmiquela/</t>
  </si>
  <si>
    <t xml:space="preserve">Original CGI virtual influencer / musician</t>
  </si>
  <si>
    <t xml:space="preserve">Established virtual influencer (pre-2026)</t>
  </si>
  <si>
    <t xml:space="preserve">PARTIAL (22/1501)</t>
  </si>
  <si>
    <t xml:space="preserve">Oldest of 22 sampled posts (account is far older - not verifiable from sample)</t>
  </si>
  <si>
    <t xml:space="preserve">https://www.instagram.com/p/DXE1ordFGu-/</t>
  </si>
  <si>
    <t xml:space="preserve">i lived a... (carousel; max within sample only)</t>
  </si>
  <si>
    <t xml:space="preserve">https://www.instagram.com/p/DeKPiH-jtIG/</t>
  </si>
  <si>
    <t xml:space="preserve">(not captured)</t>
  </si>
  <si>
    <t xml:space="preserve">sabrinacarpenter (2, real), coachella (2), johnliwag (2)</t>
  </si>
  <si>
    <t xml:space="preserve">INFERRED: Gen-Z musician/robot with long-running storyline</t>
  </si>
  <si>
    <t xml:space="preserve">INFERRED: CGI teen with space buns</t>
  </si>
  <si>
    <t xml:space="preserve">Photos/carousels/Reels</t>
  </si>
  <si>
    <t xml:space="preserve">Likes hidden on 3 of last 12. Engagement per follower now very low (~0.05%).</t>
  </si>
  <si>
    <t xml:space="preserve">Category benchmark: biggest legacy following, but low current engagement.</t>
  </si>
  <si>
    <t xml:space="preserve">Granny Spills</t>
  </si>
  <si>
    <t xml:space="preserve">grannyspills</t>
  </si>
  <si>
    <t xml:space="preserve">https://www.instagram.com/grannyspills/</t>
  </si>
  <si>
    <t xml:space="preserve">AI sassy grandmother giving life advice</t>
  </si>
  <si>
    <t xml:space="preserve">AI character studio (Blur Studios)</t>
  </si>
  <si>
    <t xml:space="preserve">PARTIAL (22/212)</t>
  </si>
  <si>
    <t xml:space="preserve">https://www.instagram.com/p/DL8o9HPtwf0/</t>
  </si>
  <si>
    <t xml:space="preserve">@gr... (pinned)</t>
  </si>
  <si>
    <t xml:space="preserve">https://www.instagram.com/p/DeCz8Bniv7e/</t>
  </si>
  <si>
    <t xml:space="preserve">blurstudios.ai (4, creator), auntieauroraa (3), nananessaa (2), madonna (2, real), kalshi (brand)</t>
  </si>
  <si>
    <t xml:space="preserve">INFERRED: brutally honest rich granny</t>
  </si>
  <si>
    <t xml:space="preserve">INFERRED: elderly glam woman</t>
  </si>
  <si>
    <t xml:space="preserve">Owned by an AI studio that runs sibling characters.</t>
  </si>
  <si>
    <t xml:space="preserve">Largest AI-native (generative, not CGI) character found: 2.17M followers, 1M-like reel, 20 posts in 14 days.</t>
  </si>
  <si>
    <t xml:space="preserve">Auntie Aurora</t>
  </si>
  <si>
    <t xml:space="preserve">auntieauroraa</t>
  </si>
  <si>
    <t xml:space="preserve">https://www.instagram.com/auntieauroraa/</t>
  </si>
  <si>
    <t xml:space="preserve">Granny Spills' sibling AI character</t>
  </si>
  <si>
    <t xml:space="preserve">PARTIAL (12/53)</t>
  </si>
  <si>
    <t xml:space="preserve">https://www.instagram.com/p/DTYiD4qEtdU/</t>
  </si>
  <si>
    <t xml:space="preserve">We all...</t>
  </si>
  <si>
    <t xml:space="preserve">https://www.instagram.com/p/DeKPxSGCo-D/</t>
  </si>
  <si>
    <t xml:space="preserve">Auntie Aurora 🧡 / Auntie didn't get rich knitting. / Birthed by @blurstudios.ai</t>
  </si>
  <si>
    <t xml:space="preserve">nananessaa (4), grannyspills (1), higgsfield.ai (9)</t>
  </si>
  <si>
    <t xml:space="preserve">OBSERVED: 'Auntie didn't get rich knitting.'</t>
  </si>
  <si>
    <t xml:space="preserve">Low posting cadence.</t>
  </si>
  <si>
    <t xml:space="preserve">Studio-built character family (shared universe with Granny Spills).</t>
  </si>
  <si>
    <t xml:space="preserve">Nobody Sausage</t>
  </si>
  <si>
    <t xml:space="preserve">nobodysausage</t>
  </si>
  <si>
    <t xml:space="preserve">https://www.instagram.com/nobodysausage/</t>
  </si>
  <si>
    <t xml:space="preserve">3D-animated dancing sausage character</t>
  </si>
  <si>
    <t xml:space="preserve">Established virtual character (CGI)</t>
  </si>
  <si>
    <t xml:space="preserve">PARTIAL (22/743)</t>
  </si>
  <si>
    <t xml:space="preserve">https://www.instagram.com/p/DbI9CnVxzJs/</t>
  </si>
  <si>
    <t xml:space="preserve">We ar...</t>
  </si>
  <si>
    <t xml:space="preserve">https://www.instagram.com/p/Dd1aXmFs8kY/</t>
  </si>
  <si>
    <t xml:space="preserve">spaceykacey (2), marcrebillet (1, real)</t>
  </si>
  <si>
    <t xml:space="preserve">INFERRED: wholesome dancer</t>
  </si>
  <si>
    <t xml:space="preserve">INFERRED: simple 3D sausage figure</t>
  </si>
  <si>
    <t xml:space="preserve">CGI-animated rather than generative AI - include as 'synthetic celebrity'.</t>
  </si>
  <si>
    <t xml:space="preserve">Largest synthetic character on IG in this set (7.35M).</t>
  </si>
  <si>
    <t xml:space="preserve">Aitana Lopez</t>
  </si>
  <si>
    <t xml:space="preserve">fit_aitana</t>
  </si>
  <si>
    <t xml:space="preserve">https://www.instagram.com/fit_aitana/</t>
  </si>
  <si>
    <t xml:space="preserve">Spanish AI fitness/lifestyle model</t>
  </si>
  <si>
    <t xml:space="preserve">PARTIAL (22/375)</t>
  </si>
  <si>
    <t xml:space="preserve">https://www.instagram.com/p/DeHf1OyIzas/</t>
  </si>
  <si>
    <t xml:space="preserve">Just kee...</t>
  </si>
  <si>
    <t xml:space="preserve">openart_ai (14, tool), theclueless.ai (5, creator agency)</t>
  </si>
  <si>
    <t xml:space="preserve">INFERRED: pink-haired fitness influencer</t>
  </si>
  <si>
    <t xml:space="preserve">INFERRED: photoreal pink-haired woman</t>
  </si>
  <si>
    <t xml:space="preserve">Photos/Reels</t>
  </si>
  <si>
    <t xml:space="preserve">Likes hidden on 3 of last 12.</t>
  </si>
  <si>
    <t xml:space="preserve">Benchmark agency-run AI model; low engagement rate.</t>
  </si>
  <si>
    <t xml:space="preserve">Imma</t>
  </si>
  <si>
    <t xml:space="preserve">imma.gram</t>
  </si>
  <si>
    <t xml:space="preserve">https://www.instagram.com/imma.gram/</t>
  </si>
  <si>
    <t xml:space="preserve">Japanese virtual model (pink bob)</t>
  </si>
  <si>
    <t xml:space="preserve">PARTIAL (22/967)</t>
  </si>
  <si>
    <t xml:space="preserve">https://www.instagram.com/p/DdjHD7akvR8/</t>
  </si>
  <si>
    <r>
      <rPr>
        <sz val="10"/>
        <rFont val="Noto Sans CJK SC"/>
        <family val="2"/>
      </rPr>
      <t xml:space="preserve">🧃🧢ギャル </t>
    </r>
    <r>
      <rPr>
        <sz val="10"/>
        <rFont val="Arial"/>
        <family val="0"/>
        <charset val="1"/>
      </rPr>
      <t xml:space="preserve">(only post with visible likes)</t>
    </r>
  </si>
  <si>
    <t xml:space="preserve">tamanaramen (6), ayachoww (5), complexjapan (4)</t>
  </si>
  <si>
    <t xml:space="preserve">INFERRED: Tokyo fashion icon</t>
  </si>
  <si>
    <t xml:space="preserve">INFERRED: CGI woman with pink bob</t>
  </si>
  <si>
    <t xml:space="preserve">Photos/carousels</t>
  </si>
  <si>
    <t xml:space="preserve">Likes hidden on 11 of last 12 -&gt; avg likes UNKNOWN.</t>
  </si>
  <si>
    <t xml:space="preserve">Benchmark Asian virtual model; hidden likes limit scoring.</t>
  </si>
  <si>
    <t xml:space="preserve">Mia Zelu</t>
  </si>
  <si>
    <t xml:space="preserve">miazelu</t>
  </si>
  <si>
    <t xml:space="preserve">https://www.instagram.com/miazelu/</t>
  </si>
  <si>
    <t xml:space="preserve">AI lifestyle/sports-event influencer</t>
  </si>
  <si>
    <t xml:space="preserve">PARTIAL (22/154)</t>
  </si>
  <si>
    <t xml:space="preserve">https://www.instagram.com/p/DceUOwhgqXK/</t>
  </si>
  <si>
    <t xml:space="preserve">Sometime...</t>
  </si>
  <si>
    <t xml:space="preserve">https://www.instagram.com/p/Dd9JtnIC7AY/</t>
  </si>
  <si>
    <t xml:space="preserve">lukazelu (2)</t>
  </si>
  <si>
    <t xml:space="preserve">INFERRED: glamorous traveller</t>
  </si>
  <si>
    <t xml:space="preserve">INFERRED: photoreal blonde woman</t>
  </si>
  <si>
    <t xml:space="preserve">Carousels</t>
  </si>
  <si>
    <t xml:space="preserve">Last post 2026-10-01.</t>
  </si>
  <si>
    <t xml:space="preserve">Recognisable name, slowing cadence.</t>
  </si>
  <si>
    <t xml:space="preserve">Kyra</t>
  </si>
  <si>
    <t xml:space="preserve">kyraonig</t>
  </si>
  <si>
    <t xml:space="preserve">https://www.instagram.com/kyraonig/</t>
  </si>
  <si>
    <t xml:space="preserve">Indian virtual influencer</t>
  </si>
  <si>
    <t xml:space="preserve">PARTIAL (22/138)</t>
  </si>
  <si>
    <t xml:space="preserve">https://www.instagram.com/p/DaftyHNP0qz/</t>
  </si>
  <si>
    <t xml:space="preserve">somewhe... (photo)</t>
  </si>
  <si>
    <t xml:space="preserve">thinkculturefoundation (10), caratlane (2, brand)</t>
  </si>
  <si>
    <t xml:space="preserve">INFERRED: travel/lifestyle</t>
  </si>
  <si>
    <t xml:space="preserve">INFERRED: photoreal Indian woman</t>
  </si>
  <si>
    <t xml:space="preserve">No posts in last 14 days.</t>
  </si>
  <si>
    <t xml:space="preserve">Market-specific (India) virtual influencer; dormant-ish.</t>
  </si>
  <si>
    <t xml:space="preserve">Shudu</t>
  </si>
  <si>
    <t xml:space="preserve">shudu.gram</t>
  </si>
  <si>
    <t xml:space="preserve">https://www.instagram.com/shudu.gram/</t>
  </si>
  <si>
    <t xml:space="preserve">CGI supermodel (The Diigitals)</t>
  </si>
  <si>
    <t xml:space="preserve">PARTIAL (22/211)</t>
  </si>
  <si>
    <t xml:space="preserve">https://www.instagram.com/p/DV9MyM8iEAN/</t>
  </si>
  <si>
    <t xml:space="preserve">We used t...</t>
  </si>
  <si>
    <t xml:space="preserve">thediigitals (40, creator), openart_ai (41), cameron.gram (30, fellow virtual model)</t>
  </si>
  <si>
    <t xml:space="preserve">INFERRED: high-fashion model</t>
  </si>
  <si>
    <t xml:space="preserve">INFERRED: photoreal dark-skinned model</t>
  </si>
  <si>
    <t xml:space="preserve">Last post 2026-09-02 (37 days).</t>
  </si>
  <si>
    <t xml:space="preserve">Legacy benchmark; now low activity.</t>
  </si>
  <si>
    <t xml:space="preserve">Bigfoot Vlog</t>
  </si>
  <si>
    <t xml:space="preserve">bigfootvlog</t>
  </si>
  <si>
    <t xml:space="preserve">https://www.instagram.com/bigfootvlog/</t>
  </si>
  <si>
    <t xml:space="preserve">AI Bigfoot vlogger</t>
  </si>
  <si>
    <t xml:space="preserve">AI vlog character (2025)</t>
  </si>
  <si>
    <t xml:space="preserve">PARTIAL (22/92)</t>
  </si>
  <si>
    <t xml:space="preserve">Pinned post (oldest in sample)</t>
  </si>
  <si>
    <t xml:space="preserve">https://www.instagram.com/p/DKSml-3A7rF/</t>
  </si>
  <si>
    <t xml:space="preserve">Bigfo...</t>
  </si>
  <si>
    <t xml:space="preserve">https://www.instagram.com/p/DePYw13A70F/</t>
  </si>
  <si>
    <t xml:space="preserve">INFERRED: chatty cryptid vlogger</t>
  </si>
  <si>
    <t xml:space="preserve">INFERRED: Bigfoot selfie-vlog</t>
  </si>
  <si>
    <t xml:space="preserve">Unverified handle; several copycat 'bigfoot vlog' accounts exist.</t>
  </si>
  <si>
    <t xml:space="preserve">Format-defining AI vlog character from 2025.</t>
  </si>
  <si>
    <t xml:space="preserve">Tilly Norwood</t>
  </si>
  <si>
    <t xml:space="preserve">tillynorwood</t>
  </si>
  <si>
    <t xml:space="preserve">https://www.instagram.com/tillynorwood/</t>
  </si>
  <si>
    <t xml:space="preserve">AI 'actress'</t>
  </si>
  <si>
    <t xml:space="preserve">AI actress (Particle6)</t>
  </si>
  <si>
    <t xml:space="preserve">PARTIAL (22/43)</t>
  </si>
  <si>
    <t xml:space="preserve">Oldest of 22 sampled non-pinned posts (pinned date 2025-07-30)</t>
  </si>
  <si>
    <t xml:space="preserve">https://www.instagram.com/p/DdbhN3RBgYT/</t>
  </si>
  <si>
    <t xml:space="preserve">EXCLUSIV...</t>
  </si>
  <si>
    <t xml:space="preserve">https://www.instagram.com/p/Dd6p3TAx8W1/</t>
  </si>
  <si>
    <t xml:space="preserve">particle6productions (8, creator), elinehq (7), piersmorgan (3, real), zurichfilm</t>
  </si>
  <si>
    <t xml:space="preserve">INFERRED: aspiring screen actress</t>
  </si>
  <si>
    <t xml:space="preserve">INFERRED: photoreal young woman</t>
  </si>
  <si>
    <t xml:space="preserve">Reels/interviews</t>
  </si>
  <si>
    <t xml:space="preserve">Comments-to-likes ratio unusually high (debate-driven).</t>
  </si>
  <si>
    <t xml:space="preserve">High press recognisability, low IG engagement.</t>
  </si>
  <si>
    <t xml:space="preserve">Dequavious Von</t>
  </si>
  <si>
    <t xml:space="preserve">dequavious_von</t>
  </si>
  <si>
    <t xml:space="preserve">https://www.instagram.com/dequavious_von/</t>
  </si>
  <si>
    <t xml:space="preserve">REVIEWED</t>
  </si>
  <si>
    <t xml:space="preserve">WATCHLIST</t>
  </si>
  <si>
    <t xml:space="preserve">Stalled: no post since 2026-09-30</t>
  </si>
  <si>
    <t xml:space="preserve">AI human, Jean Phil crossover</t>
  </si>
  <si>
    <t xml:space="preserve">jean_philanthrope (2)</t>
  </si>
  <si>
    <t xml:space="preserve">Jade Orlhabit</t>
  </si>
  <si>
    <t xml:space="preserve">jadeorlhabit_</t>
  </si>
  <si>
    <t xml:space="preserve">https://www.instagram.com/jadeorlhabit_/</t>
  </si>
  <si>
    <t xml:space="preserve">Lore-relevant (Jean Phil's love interest, 'Oui Monsieur.', CA in bio) but only 66 followers</t>
  </si>
  <si>
    <t xml:space="preserve">AI human, Jean Phil universe</t>
  </si>
  <si>
    <t xml:space="preserve">Oui Monsieur. / CA: 8Ay16b…pump / @jean_philanthrope Love U 💋</t>
  </si>
  <si>
    <t xml:space="preserve">Official Evil Dog</t>
  </si>
  <si>
    <t xml:space="preserve">evildogi</t>
  </si>
  <si>
    <t xml:space="preserve">https://www.instagram.com/evildogi/</t>
  </si>
  <si>
    <t xml:space="preserve">Brand/merch meme page (shop in bio) - borderline mascot; very high volume (5,829 posts)</t>
  </si>
  <si>
    <t xml:space="preserve">Meme dog brand</t>
  </si>
  <si>
    <t xml:space="preserve">candy.greyhound (2), sickmanai (2)</t>
  </si>
  <si>
    <t xml:space="preserve">Mr Twirlo</t>
  </si>
  <si>
    <t xml:space="preserve">mr_twirlo</t>
  </si>
  <si>
    <t xml:space="preserve">https://www.instagram.com/mr_twirlo/</t>
  </si>
  <si>
    <t xml:space="preserve">Small (8.2K) dance character; AI not declared</t>
  </si>
  <si>
    <t xml:space="preserve">Comedy • Dance • Entertainment / Road to 10K</t>
  </si>
  <si>
    <t xml:space="preserve">Kee-Koi-Man</t>
  </si>
  <si>
    <t xml:space="preserve">keekoiman</t>
  </si>
  <si>
    <t xml:space="preserve">https://www.instagram.com/keekoiman/</t>
  </si>
  <si>
    <t xml:space="preserve">Low engagement vs followers</t>
  </si>
  <si>
    <t xml:space="preserve">20k / 100k followers / DM me for collabs</t>
  </si>
  <si>
    <t xml:space="preserve">Luther Longford</t>
  </si>
  <si>
    <t xml:space="preserve">lutherlongford</t>
  </si>
  <si>
    <t xml:space="preserve">https://www.instagram.com/lutherlongford/</t>
  </si>
  <si>
    <t xml:space="preserve">Shown by IG next to archibald_brown; content not reviewed (data lost in session)</t>
  </si>
  <si>
    <t xml:space="preserve">Archie Pimm</t>
  </si>
  <si>
    <t xml:space="preserve">itsarchiepimm</t>
  </si>
  <si>
    <t xml:space="preserve">https://www.instagram.com/itsarchiepimm/</t>
  </si>
  <si>
    <t xml:space="preserve">Jean-Phil-like visual (blond hair, suit) 'UK lad finding myself in NYC'; AI not declared</t>
  </si>
  <si>
    <t xml:space="preserve">Abdul Bigote</t>
  </si>
  <si>
    <t xml:space="preserve">abdulbigote</t>
  </si>
  <si>
    <t xml:space="preserve">https://www.instagram.com/abdulbigote/</t>
  </si>
  <si>
    <t xml:space="preserve">Verified but tiny (2.5K); 'The Arab uncle...' archetype</t>
  </si>
  <si>
    <t xml:space="preserve">Nigel Batt</t>
  </si>
  <si>
    <t xml:space="preserve">nigelbattofficial</t>
  </si>
  <si>
    <t xml:space="preserve">https://www.instagram.com/nigelbattofficial/</t>
  </si>
  <si>
    <t xml:space="preserve">Named in press; 33.7K followers but ~14 likes/post (follower-engagement mismatch); also @nigelbattsol (218)</t>
  </si>
  <si>
    <t xml:space="preserve">Jean Philanthrope 'Evil Twin'</t>
  </si>
  <si>
    <t xml:space="preserve">jeanphilanthrope.co</t>
  </si>
  <si>
    <t xml:space="preserve">https://www.instagram.com/jeanphilanthrope.co/</t>
  </si>
  <si>
    <t xml:space="preserve">EXCLUDED</t>
  </si>
  <si>
    <t xml:space="preserve">Copycat/promo of Jean Phil ('Create Videos Just Like Me'); 250K followers but ~336 likes/post</t>
  </si>
  <si>
    <t xml:space="preserve">Brigitte Macaron (copycat)</t>
  </si>
  <si>
    <t xml:space="preserve">brigitte_macaron_</t>
  </si>
  <si>
    <t xml:space="preserve">https://www.instagram.com/brigitte_macaron_/</t>
  </si>
  <si>
    <t xml:space="preserve">Copycat of brigittemacaron_ ($MACARON in bio; 9 reposted clips on one day)</t>
  </si>
  <si>
    <t xml:space="preserve">Phil Jean</t>
  </si>
  <si>
    <t xml:space="preserve">phil_john_jean</t>
  </si>
  <si>
    <t xml:space="preserve">https://www.instagram.com/phil_john_jean/</t>
  </si>
  <si>
    <t xml:space="preserve">Jean Phil copycat</t>
  </si>
  <si>
    <t xml:space="preserve">Noonoouri</t>
  </si>
  <si>
    <t xml:space="preserve">noonoouri</t>
  </si>
  <si>
    <t xml:space="preserve">https://www.instagram.com/noonoouri/</t>
  </si>
  <si>
    <t xml:space="preserve">Inactive: last post 2026-05-15</t>
  </si>
  <si>
    <t xml:space="preserve">Rozy</t>
  </si>
  <si>
    <t xml:space="preserve">rozy.gram</t>
  </si>
  <si>
    <t xml:space="preserve">https://www.instagram.com/rozy.gram/</t>
  </si>
  <si>
    <t xml:space="preserve">Inactive: last post 2026-04-01</t>
  </si>
  <si>
    <t xml:space="preserve">Blawko</t>
  </si>
  <si>
    <t xml:space="preserve">blawko22</t>
  </si>
  <si>
    <t xml:space="preserve">https://www.instagram.com/blawko22/</t>
  </si>
  <si>
    <t xml:space="preserve">Inactive since 2020-09-18</t>
  </si>
  <si>
    <t xml:space="preserve">Bermuda</t>
  </si>
  <si>
    <t xml:space="preserve">bermudaisbae</t>
  </si>
  <si>
    <t xml:space="preserve">https://www.instagram.com/bermudaisbae/</t>
  </si>
  <si>
    <t xml:space="preserve">Inactive since 2020-09-21</t>
  </si>
  <si>
    <t xml:space="preserve">La Fève</t>
  </si>
  <si>
    <t xml:space="preserve">lafeve7</t>
  </si>
  <si>
    <t xml:space="preserve">https://www.instagram.com/lafeve7/</t>
  </si>
  <si>
    <t xml:space="preserve">Real human artist (rapper) - tagged by Jean Phil</t>
  </si>
  <si>
    <t xml:space="preserve">The Grand Show</t>
  </si>
  <si>
    <t xml:space="preserve">the_grandshow</t>
  </si>
  <si>
    <t xml:space="preserve">https://www.instagram.com/the_grandshow/</t>
  </si>
  <si>
    <t xml:space="preserve">AI 'acts' compilation page - no recurring character</t>
  </si>
  <si>
    <t xml:space="preserve">(AI animal stories)</t>
  </si>
  <si>
    <t xml:space="preserve">bunnychaosai</t>
  </si>
  <si>
    <t xml:space="preserve">https://www.instagram.com/bunnychaosai/</t>
  </si>
  <si>
    <t xml:space="preserve">Anthology of AI animals - no single recurring character</t>
  </si>
  <si>
    <t xml:space="preserve">Ivan Savin</t>
  </si>
  <si>
    <t xml:space="preserve">general.shavin</t>
  </si>
  <si>
    <t xml:space="preserve">https://www.instagram.com/general.shavin/</t>
  </si>
  <si>
    <t xml:space="preserve">Gaming role-play, not an AI character</t>
  </si>
  <si>
    <t xml:space="preserve">PhantomPaws.co</t>
  </si>
  <si>
    <t xml:space="preserve">phantompaws.co</t>
  </si>
  <si>
    <t xml:space="preserve">https://www.instagram.com/phantompaws.co/</t>
  </si>
  <si>
    <t xml:space="preserve">E-commerce shop</t>
  </si>
  <si>
    <t xml:space="preserve">Marcel Philan</t>
  </si>
  <si>
    <t xml:space="preserve">marcel_philan</t>
  </si>
  <si>
    <t xml:space="preserve">https://www.instagram.com/marcel_philan/</t>
  </si>
  <si>
    <t xml:space="preserve">One post only</t>
  </si>
  <si>
    <t xml:space="preserve">(Knox Frost search result)</t>
  </si>
  <si>
    <t xml:space="preserve">knox_frost</t>
  </si>
  <si>
    <t xml:space="preserve">https://www.instagram.com/knox_frost/</t>
  </si>
  <si>
    <t xml:space="preserve">Official handle not found - result is a 32-follower empty account</t>
  </si>
  <si>
    <t xml:space="preserve">(Emily Pellegrini search result)</t>
  </si>
  <si>
    <t xml:space="preserve">emily.pellegrini</t>
  </si>
  <si>
    <t xml:space="preserve">https://www.instagram.com/emily.pellegrini/</t>
  </si>
  <si>
    <t xml:space="preserve">Official handle not found - result is a 20-follower empty account</t>
  </si>
  <si>
    <t xml:space="preserve">Rank</t>
  </si>
  <si>
    <t xml:space="preserve">Score</t>
  </si>
  <si>
    <t xml:space="preserve">Live ranking of INCLUDED rows by FAME SCORE (ALL CANDIDATES). Edit weights in SCORING METHOD or inputs in ALL CANDIDATES and this list re-sorts.</t>
  </si>
  <si>
    <t xml:space="preserve">Live ranking of INCLUDED rows by MOMENTUM SCORE. 14-day window = posts since 2026-09-25.</t>
  </si>
  <si>
    <t xml:space="preserve">Universe / cluster</t>
  </si>
  <si>
    <t xml:space="preserve">OUT -&gt; fictional/AI characters (count)</t>
  </si>
  <si>
    <t xml:space="preserve">IN &lt;- fictional/AI characters (count)</t>
  </si>
  <si>
    <t xml:space="preserve">Real people tagged (parody/storyline)</t>
  </si>
  <si>
    <t xml:space="preserve">Brands / tools / creators tagged</t>
  </si>
  <si>
    <t xml:space="preserve">IG 'suggested accounts' neighbours (algorithmic)</t>
  </si>
  <si>
    <t xml:space="preserve">Out-degree (characters)</t>
  </si>
  <si>
    <t xml:space="preserve">In-degree (characters)</t>
  </si>
  <si>
    <t xml:space="preserve">Evidence</t>
  </si>
  <si>
    <t xml:space="preserve">Sep-2026 'human' AI wave - Jean Phil universe</t>
  </si>
  <si>
    <t xml:space="preserve">lafeve7 (2, rapper)</t>
  </si>
  <si>
    <t xml:space="preserve">stellamccartney (2)</t>
  </si>
  <si>
    <t xml:space="preserve">jeanphilanthrope.co (IG suggests from abu.shalab)</t>
  </si>
  <si>
    <t xml:space="preserve">Inbound links counted from other accounts' captions/tags</t>
  </si>
  <si>
    <t xml:space="preserve">Sep-2026 'human' AI wave - Jean Phil universe (isolated)</t>
  </si>
  <si>
    <t xml:space="preserve">No links in 15 posts</t>
  </si>
  <si>
    <t xml:space="preserve">Higgsfield partner network</t>
  </si>
  <si>
    <t xml:space="preserve">higgsfield.ai (7), higgsfield.creators (2), higgsfield.soul (1)</t>
  </si>
  <si>
    <t xml:space="preserve">Sep-2026 'human' AI wave - Jean Phil universe + crossover to AI-animal fight league</t>
  </si>
  <si>
    <t xml:space="preserve">jean_philanthrope (9), abunuttyofficial (3)</t>
  </si>
  <si>
    <t xml:space="preserve">percival_ashcrofttt (3)</t>
  </si>
  <si>
    <t xml:space="preserve">anthonyjoshua (12), jonnybones (7), ___johnjones___ (5), danawhite (3), rodtang_jimungnon (2), miketyson (1)</t>
  </si>
  <si>
    <t xml:space="preserve">mighty (13, unidentified)</t>
  </si>
  <si>
    <t xml:space="preserve">lutherlongford, percival_ashcrofttt</t>
  </si>
  <si>
    <t xml:space="preserve">https://www.instagram.com/p/Ddlj-kosQ2h/ ; https://www.instagram.com/p/DeIXFGUMxmL/</t>
  </si>
  <si>
    <t xml:space="preserve">Arab-uncle dancer archetype</t>
  </si>
  <si>
    <t xml:space="preserve">imranpoppadumb (2)</t>
  </si>
  <si>
    <t xml:space="preserve">imranpoppadumb, jeanphilanthrope.co, keekoiman, mr_twirlo, mr._stretchy</t>
  </si>
  <si>
    <t xml:space="preserve">jean_philanthrope (4)</t>
  </si>
  <si>
    <t xml:space="preserve">dualipa (3)</t>
  </si>
  <si>
    <t xml:space="preserve">https://www.instagram.com/p/Dd6t_drNhuS/</t>
  </si>
  <si>
    <t xml:space="preserve">gucci (5), demna (1)</t>
  </si>
  <si>
    <t xml:space="preserve">jean_philanthrope (2), sickmanai (2)</t>
  </si>
  <si>
    <t xml:space="preserve">imranpoppadumb (1)</t>
  </si>
  <si>
    <t xml:space="preserve">monsterenergy (4), higgsfield.ai (3), fortnite</t>
  </si>
  <si>
    <t xml:space="preserve">Grid: Higgsfield 'AI INFLUENCER - short drama' crossover poster</t>
  </si>
  <si>
    <t xml:space="preserve">AI-animal fight league (hub)</t>
  </si>
  <si>
    <t xml:space="preserve">casper.iggy (5), candy.greyhound (4), don.gorillo (2), pik.vik1 (2), ia.vacalha (2)</t>
  </si>
  <si>
    <t xml:space="preserve">archibald_brown (3), casper.iggy (4), don.gorillo (2)</t>
  </si>
  <si>
    <t xml:space="preserve">AI-animal fight league</t>
  </si>
  <si>
    <t xml:space="preserve">abunuttyofficial (4)</t>
  </si>
  <si>
    <t xml:space="preserve">abunuttyofficial (5), don.gorillo (2); named in archibald_brown caption</t>
  </si>
  <si>
    <t xml:space="preserve">malysh_bully (6)</t>
  </si>
  <si>
    <t xml:space="preserve">abunuttyofficial (4), sickmanai (4), ia.vacalha (6), caramelinho.ia (8), pik.vik1 (2), evildogi (2)</t>
  </si>
  <si>
    <t xml:space="preserve">valterwalkerufc (3), k.mbappe, danawhite</t>
  </si>
  <si>
    <t xml:space="preserve">higgsfield.ai (14), askvenice (3)</t>
  </si>
  <si>
    <t xml:space="preserve">abunuttyofficial (2), casper.iggy (2)</t>
  </si>
  <si>
    <t xml:space="preserve">abunuttyofficial (2)</t>
  </si>
  <si>
    <t xml:space="preserve">jonnybones</t>
  </si>
  <si>
    <t xml:space="preserve">ufc</t>
  </si>
  <si>
    <t xml:space="preserve">zaytovenbeatz</t>
  </si>
  <si>
    <t xml:space="preserve">higgsfield.ai (7), cadillac</t>
  </si>
  <si>
    <t xml:space="preserve">Crypto AI animals</t>
  </si>
  <si>
    <t xml:space="preserve">evildogi (8), candy.greyhound (4), yesand_ai (5)</t>
  </si>
  <si>
    <t xml:space="preserve">derek.mercer.2006 (2), evildogi (2)</t>
  </si>
  <si>
    <t xml:space="preserve">capcutapp (4), higgsfield.creators</t>
  </si>
  <si>
    <t xml:space="preserve">Brazil AI universe</t>
  </si>
  <si>
    <t xml:space="preserve">caramelinho.ia (8), candy.greyhound (6)</t>
  </si>
  <si>
    <t xml:space="preserve">caramelinho.ia (14), abunuttyofficial (2)</t>
  </si>
  <si>
    <t xml:space="preserve">higgsfield.ai (22), syntx_ai, roboneo_br</t>
  </si>
  <si>
    <t xml:space="preserve">ia.vacalha (14), candy.greyhound (8)</t>
  </si>
  <si>
    <t xml:space="preserve">ia.vacalha (8)</t>
  </si>
  <si>
    <t xml:space="preserve">higgsfield.ai (23), roboneo_br</t>
  </si>
  <si>
    <t xml:space="preserve">dahab.daddy (3), amidoudumont (1) - unidentified</t>
  </si>
  <si>
    <t xml:space="preserve">archibald_brown (3)</t>
  </si>
  <si>
    <t xml:space="preserve">higgsfield.ai</t>
  </si>
  <si>
    <t xml:space="preserve">Also: egorov_matvey_ (4), sean.dynastyprosper (3) - unidentified</t>
  </si>
  <si>
    <t xml:space="preserve">Sep-2026 'human' AI wave - Jean Phil universe (connector)</t>
  </si>
  <si>
    <t xml:space="preserve">devonlindner_ (4), dance_sfinks_official (2), robotron.bot (2) - unidentified</t>
  </si>
  <si>
    <t xml:space="preserve">Stretchy universe</t>
  </si>
  <si>
    <t xml:space="preserve">ms.stretchy (4)</t>
  </si>
  <si>
    <t xml:space="preserve">mahsunco (3, sponsor)</t>
  </si>
  <si>
    <t xml:space="preserve">Also ksenia_velart (3)</t>
  </si>
  <si>
    <t xml:space="preserve">mr._stretchy (4)</t>
  </si>
  <si>
    <t xml:space="preserve">candy.greyhound (2)</t>
  </si>
  <si>
    <t xml:space="preserve">k.mbappe (2)</t>
  </si>
  <si>
    <t xml:space="preserve">higgsfield.ai (13), mtpop.vn</t>
  </si>
  <si>
    <t xml:space="preserve">Legacy virtual influencers</t>
  </si>
  <si>
    <t xml:space="preserve">sabrinacarpenter (2)</t>
  </si>
  <si>
    <t xml:space="preserve">coachella (2)</t>
  </si>
  <si>
    <t xml:space="preserve">Blur Studios family</t>
  </si>
  <si>
    <t xml:space="preserve">auntieauroraa (3), nananessaa (2)</t>
  </si>
  <si>
    <t xml:space="preserve">auntieauroraa (1)</t>
  </si>
  <si>
    <t xml:space="preserve">madonna (2)</t>
  </si>
  <si>
    <t xml:space="preserve">blurstudios.ai (4, creator), kalshi</t>
  </si>
  <si>
    <t xml:space="preserve">nananessaa (4), grannyspills (1)</t>
  </si>
  <si>
    <t xml:space="preserve">grannyspills (3)</t>
  </si>
  <si>
    <t xml:space="preserve">blurstudios.ai (creator), higgsfield.ai (9)</t>
  </si>
  <si>
    <t xml:space="preserve">CGI characters</t>
  </si>
  <si>
    <t xml:space="preserve">marcrebillet (1)</t>
  </si>
  <si>
    <t xml:space="preserve">The Clueless agency</t>
  </si>
  <si>
    <t xml:space="preserve">openart_ai (14), theclueless.ai (5, creator)</t>
  </si>
  <si>
    <t xml:space="preserve">tamanaramen (6), complexjapan (4)</t>
  </si>
  <si>
    <t xml:space="preserve">Zelu family</t>
  </si>
  <si>
    <t xml:space="preserve">thinkculturefoundation (10), caratlane (2)</t>
  </si>
  <si>
    <t xml:space="preserve">The Diigitals roster</t>
  </si>
  <si>
    <t xml:space="preserve">cameron.gram (30)</t>
  </si>
  <si>
    <t xml:space="preserve">thediigitals (40, creator), openart_ai (41)</t>
  </si>
  <si>
    <t xml:space="preserve">Particle6</t>
  </si>
  <si>
    <t xml:space="preserve">piersmorgan (3)</t>
  </si>
  <si>
    <t xml:space="preserve">particle6productions (8, creator), elinehq (7)</t>
  </si>
  <si>
    <t xml:space="preserve">jean_philanthrope (bio + 1)</t>
  </si>
  <si>
    <t xml:space="preserve">sickmanai (8)</t>
  </si>
  <si>
    <t xml:space="preserve">Sep-2026 'human' AI wave - Jean Phil universe (copycat)</t>
  </si>
  <si>
    <t xml:space="preserve">EDGE LIST (one observed link per row - reusable as a graph table)</t>
  </si>
  <si>
    <t xml:space="preserve">Source handle</t>
  </si>
  <si>
    <t xml:space="preserve">Target handle</t>
  </si>
  <si>
    <t xml:space="preserve">Link type</t>
  </si>
  <si>
    <t xml:space="preserve">Count observed</t>
  </si>
  <si>
    <t xml:space="preserve">Target kind</t>
  </si>
  <si>
    <t xml:space="preserve">Evidence / example</t>
  </si>
  <si>
    <t xml:space="preserve">Observed on</t>
  </si>
  <si>
    <t xml:space="preserve">caption mention (rivalry call-outs)</t>
  </si>
  <si>
    <t xml:space="preserve">character</t>
  </si>
  <si>
    <t xml:space="preserve">https://www.instagram.com/p/Ddlj-kosQ2h/</t>
  </si>
  <si>
    <t xml:space="preserve">2026-09-22..10-05</t>
  </si>
  <si>
    <t xml:space="preserve">caption mention ('you're next')</t>
  </si>
  <si>
    <t xml:space="preserve">https://www.instagram.com/p/DeIXFGUMxmL/</t>
  </si>
  <si>
    <t xml:space="preserve">2026-10-05</t>
  </si>
  <si>
    <t xml:space="preserve">danawhite</t>
  </si>
  <si>
    <t xml:space="preserve">caption mention (fake UFC storyline)</t>
  </si>
  <si>
    <t xml:space="preserve">real person</t>
  </si>
  <si>
    <t xml:space="preserve">https://www.instagram.com/p/DeIXZFdsCGd/</t>
  </si>
  <si>
    <t xml:space="preserve">2026-09-27..10-05</t>
  </si>
  <si>
    <t xml:space="preserve">anthonyjoshua</t>
  </si>
  <si>
    <t xml:space="preserve">tag (storyline prop)</t>
  </si>
  <si>
    <t xml:space="preserve">miketyson</t>
  </si>
  <si>
    <t xml:space="preserve">tag ('Mike met the man himself')</t>
  </si>
  <si>
    <t xml:space="preserve">https://www.instagram.com/p/DdmINpvsuGs/</t>
  </si>
  <si>
    <t xml:space="preserve">2026-09-22</t>
  </si>
  <si>
    <t xml:space="preserve">tag/mention</t>
  </si>
  <si>
    <t xml:space="preserve">tag/mention ('La Jeanconde', 'your father')</t>
  </si>
  <si>
    <t xml:space="preserve">2026-09-30</t>
  </si>
  <si>
    <t xml:space="preserve">dualipa</t>
  </si>
  <si>
    <t xml:space="preserve">caption mention (running joke)</t>
  </si>
  <si>
    <t xml:space="preserve">https://www.instagram.com/p/DdwN0y8t_Xg/</t>
  </si>
  <si>
    <t xml:space="preserve">2026-09-26</t>
  </si>
  <si>
    <t xml:space="preserve">tag</t>
  </si>
  <si>
    <t xml:space="preserve">2026-09-29</t>
  </si>
  <si>
    <t xml:space="preserve">stellamccartney</t>
  </si>
  <si>
    <t xml:space="preserve">caption mention (Paris Fashion Week)</t>
  </si>
  <si>
    <t xml:space="preserve">brand</t>
  </si>
  <si>
    <t xml:space="preserve">https://www.instagram.com/p/DeMqmuiiY6J/</t>
  </si>
  <si>
    <t xml:space="preserve">2026-10-07</t>
  </si>
  <si>
    <t xml:space="preserve">caption mention (music)</t>
  </si>
  <si>
    <t xml:space="preserve">https://www.instagram.com/p/Dd_4AYBiSwh/</t>
  </si>
  <si>
    <t xml:space="preserve">2026-10-02</t>
  </si>
  <si>
    <t xml:space="preserve">monsterenergy</t>
  </si>
  <si>
    <t xml:space="preserve">AI tool</t>
  </si>
  <si>
    <t xml:space="preserve">bio mention ('Love U 💋') + tag</t>
  </si>
  <si>
    <t xml:space="preserve">gucci</t>
  </si>
  <si>
    <t xml:space="preserve">caption mention</t>
  </si>
  <si>
    <t xml:space="preserve">2026-09-24</t>
  </si>
  <si>
    <t xml:space="preserve">bio + caption (#higgsfieldpartner)</t>
  </si>
  <si>
    <t xml:space="preserve">https://www.instagram.com/p/DeOsvhjhDoP/</t>
  </si>
  <si>
    <t xml:space="preserve">2026-10-08</t>
  </si>
  <si>
    <t xml:space="preserve">malysh_bully</t>
  </si>
  <si>
    <t xml:space="preserve">unidentified</t>
  </si>
  <si>
    <t xml:space="preserve">caption mention ('the big boss')</t>
  </si>
  <si>
    <t xml:space="preserve">yesand_ai</t>
  </si>
  <si>
    <t xml:space="preserve">mahsunco</t>
  </si>
  <si>
    <t xml:space="preserve">sponsored placement</t>
  </si>
  <si>
    <t xml:space="preserve">nananessaa</t>
  </si>
  <si>
    <t xml:space="preserve">blurstudios.ai</t>
  </si>
  <si>
    <t xml:space="preserve">tag (creator studio)</t>
  </si>
  <si>
    <t xml:space="preserve">creator</t>
  </si>
  <si>
    <t xml:space="preserve">cameron.gram</t>
  </si>
  <si>
    <t xml:space="preserve">thediigitals</t>
  </si>
  <si>
    <t xml:space="preserve">theclueless.ai</t>
  </si>
  <si>
    <t xml:space="preserve">tag (creator agency)</t>
  </si>
  <si>
    <t xml:space="preserve">particle6productions</t>
  </si>
  <si>
    <t xml:space="preserve">lukazelu</t>
  </si>
  <si>
    <t xml:space="preserve">IG suggested accounts (algorithmic, viewer-personalised)</t>
  </si>
  <si>
    <t xml:space="preserve">suggested</t>
  </si>
  <si>
    <t xml:space="preserve">IG suggested accounts (algorithmic)</t>
  </si>
  <si>
    <t xml:space="preserve">Debut / first visible post</t>
  </si>
  <si>
    <t xml:space="preserve">Debut basis</t>
  </si>
  <si>
    <t xml:space="preserve">Debut post URL</t>
  </si>
  <si>
    <t xml:space="preserve">Peak post date</t>
  </si>
  <si>
    <t xml:space="preserve">Peak post likes</t>
  </si>
  <si>
    <t xml:space="preserve">Peak post URL</t>
  </si>
  <si>
    <t xml:space="preserve">Days debut -&gt; peak</t>
  </si>
  <si>
    <t xml:space="preserve">Days active (debut -&gt; last post)</t>
  </si>
  <si>
    <t xml:space="preserve">Weekly / period trajectory (avg likes per post)</t>
  </si>
  <si>
    <t xml:space="preserve">Key milestones (dated, with evidence)</t>
  </si>
  <si>
    <t xml:space="preserve">Token / ticker event on IG</t>
  </si>
  <si>
    <t xml:space="preserve">Current phase (INFERRED)</t>
  </si>
  <si>
    <t xml:space="preserve">https://www.instagram.com/p/DdZ3IkKiiXx/</t>
  </si>
  <si>
    <t xml:space="preserve">OBSERVED: 09-17..23: 7 posts, avg 500,084 likes | 09-24..30: 2 posts, avg 25,832 | 10-01..07: 3 posts, avg 7,899</t>
  </si>
  <si>
    <t xml:space="preserve">09-17 debut (boxing) | 09-18 921K-like reel | 09-19 1.71M-like reel (all-time high) | 09-22 'Double G' 220K | 09-24 'Tour Eiffel' | 10-02 @lafeve7 | 10-07 Paris Fashion Week x @stellamccartney</t>
  </si>
  <si>
    <t xml:space="preserve">None on IG. External: $JEANPHIL launched ~09-20 (Sprites.ai/Dexerto).</t>
  </si>
  <si>
    <t xml:space="preserve">Peaked (week 1) - decaying</t>
  </si>
  <si>
    <t xml:space="preserve">https://www.instagram.com/p/DdzqxONPLaG/</t>
  </si>
  <si>
    <t xml:space="preserve">OBSERVED: 09-27..30: 7 posts, avg 135,389 (incl. 846K reel) | 10-01..04: 4 posts, avg 2,933 | 10-05..08: 4 posts, avg 3,267</t>
  </si>
  <si>
    <t xml:space="preserve">09-27 debut | 09-29 'Dancing with friends' 846K likes / 76K comments | 09-29..30 Rio de Janeiro trip | 10-07 single 'Shut It' released + teaser 'Something big… is coming'</t>
  </si>
  <si>
    <t xml:space="preserve">None - bio: 'No crypto affiliation yet'</t>
  </si>
  <si>
    <t xml:space="preserve">Post-viral plateau; pivot to music</t>
  </si>
  <si>
    <t xml:space="preserve">OBSERVED: 09-24..30: 21 posts, avg 50,981 | 10-01..04: 15 posts, avg 8,712 | 10-05..09: 16 posts, avg 4,870</t>
  </si>
  <si>
    <t xml:space="preserve">09-25 debut | 09-26 'Feeling fresh' 380K | 09-29 'Thank you for 40k!!' | October: '#higgsfieldpartner' sponsored posts | 10-09 102.5K followers</t>
  </si>
  <si>
    <t xml:space="preserve">None on IG ('.sol' handle suffix only)</t>
  </si>
  <si>
    <t xml:space="preserve">Decaying, high-volume sponsored phase</t>
  </si>
  <si>
    <t xml:space="preserve">https://www.instagram.com/p/Ddhr_xBsuRK/</t>
  </si>
  <si>
    <t xml:space="preserve">OBSERVED: 09-20..23: 18 posts, avg 90,924 | 09-24..30: 25 posts, avg 3,790 | 10-01..04: 6 posts, avg 1,036 | 10-05..07: 3 posts, avg 1,227</t>
  </si>
  <si>
    <t xml:space="preserve">09-20 debut | 09-22 1.1M-like 'coaching' reel + 'come to London' call-out to Jean Phil | 09-27 '@danawhite lock in' | 10-05 UFC 'opportunity' (pinned) + 'Casper was the warm-up… you're next'</t>
  </si>
  <si>
    <t xml:space="preserve">None on IG. External: $ARCHIBROWN (Dexerto).</t>
  </si>
  <si>
    <t xml:space="preserve">Decaying; storyline still active</t>
  </si>
  <si>
    <t xml:space="preserve">https://www.instagram.com/p/DduMth6NxfU/</t>
  </si>
  <si>
    <t xml:space="preserve">OBSERVED: 09-25..30: 14 posts, avg 281,290 | 10-01..04: 9 posts, avg 31,627 | 10-05..08: 4 posts, avg 5,688</t>
  </si>
  <si>
    <t xml:space="preserve">09-25 debut + 1.39M-like reel same day | 09-26 874K | 09-27 527K 'Disco time' + 'A pump might be fun' | 10-02 '$ABU Officially on Chain' | 10-04 'Abu Verstappen' 81K</t>
  </si>
  <si>
    <t xml:space="preserve">10-02 https://www.instagram.com/p/DeAn0u0Dc9M/ '$ABU Officially on Chain 🚀'; 09-27 'A pump might be fun'; bio link join.pump.fun</t>
  </si>
  <si>
    <t xml:space="preserve">Peaked (days 1-5) - decaying fast</t>
  </si>
  <si>
    <t xml:space="preserve">OBSERVED: likes hidden on 14/18 posts - visible: 09-26 4,911 | 09-27 3,627 &amp; 1,773 | 10-04 17,442</t>
  </si>
  <si>
    <t xml:space="preserve">09-26 debut | 09-30 'La Jeanconde' + 'My first Fashion Week' | 10-04 '200K Macaronies on TikTok in &lt;1 week' | 10-06 outfit-vote results</t>
  </si>
  <si>
    <t xml:space="preserve">None on primary account (copycat shows $MACARON)</t>
  </si>
  <si>
    <t xml:space="preserve">Growing on TikTok; IG secondary</t>
  </si>
  <si>
    <t xml:space="preserve">OBSERVED: 09-22..24: avg ~49K (3 top reels) | after 09-25: avg 1,941 (7 posts)</t>
  </si>
  <si>
    <t xml:space="preserve">09-22 debut ('you are still early') | 09-23 7,122-comment reel | 09-24 Gucci suit joke 52K | 10-02 last post</t>
  </si>
  <si>
    <t xml:space="preserve">Bio from capture: 'Official $BillSmith' + Solana CA (…pump). Exact date added UNKNOWN.</t>
  </si>
  <si>
    <t xml:space="preserve">Stalling</t>
  </si>
  <si>
    <t xml:space="preserve">OBSERVED: before 09-25 avg 5,992 | 09-25..10-08 avg 301,185 (3.15M reel 09-29)</t>
  </si>
  <si>
    <t xml:space="preserve">~09-23 first visible | 09-25 'Pumping with GIGACAT' 915K | 09-28 'He was mogged' 353K | 09-29 'Remember your gym bro' 3.15M | verified badge by 10-09</t>
  </si>
  <si>
    <t xml:space="preserve">CA (…pump) in bio; external $DRMR</t>
  </si>
  <si>
    <t xml:space="preserve">Hot / breakout</t>
  </si>
  <si>
    <t xml:space="preserve">OBSERVED: last-12 avg 43,627 vs 14d avg 41,952 - stable</t>
  </si>
  <si>
    <t xml:space="preserve">Record '6-0' in bio; 'TIME TO TAKE THE BELT'; merch launched</t>
  </si>
  <si>
    <t xml:space="preserve">None</t>
  </si>
  <si>
    <t xml:space="preserve">Stable, franchise-building</t>
  </si>
  <si>
    <t xml:space="preserve">OBSERVED: 14d avg 130,394 likes</t>
  </si>
  <si>
    <t xml:space="preserve">10-01 527K-like reel; storyline vs Abu Nutty</t>
  </si>
  <si>
    <t xml:space="preserve">Rising</t>
  </si>
  <si>
    <t xml:space="preserve">OBSERVED: 14d avg 28,129</t>
  </si>
  <si>
    <t xml:space="preserve">2026-08-31 pinned 794K reel; '$1M prize challenge'; Dana White storyline</t>
  </si>
  <si>
    <t xml:space="preserve">Stable</t>
  </si>
  <si>
    <t xml:space="preserve">OBSERVED: 10-05 two 500K+ reels, then ~5K avg</t>
  </si>
  <si>
    <t xml:space="preserve">10-05 632K and 537K reels</t>
  </si>
  <si>
    <t xml:space="preserve">$Knightcat (bio) + pump.fun link</t>
  </si>
  <si>
    <t xml:space="preserve">Spiked, cooling</t>
  </si>
  <si>
    <t xml:space="preserve">OBSERVED: 13 posts since 10-03, avg 11,306</t>
  </si>
  <si>
    <t xml:space="preserve">10-03 launched as spin-off of Cuca Beludo; 61K-like debut-day reel</t>
  </si>
  <si>
    <t xml:space="preserve">New / rising</t>
  </si>
  <si>
    <t xml:space="preserve">OBSERVED: last-12 avg 60,268; 14d avg 61,104</t>
  </si>
  <si>
    <t xml:space="preserve">09-24 502K reel; sponsored placements (@mahsunco)</t>
  </si>
  <si>
    <t xml:space="preserve">Stable, monetising</t>
  </si>
  <si>
    <t xml:space="preserve">OBSERVED: last-12 avg 1,102 likes on 2.25M followers</t>
  </si>
  <si>
    <t xml:space="preserve">Long-running account (1,501 posts); recent posts 2-3/month</t>
  </si>
  <si>
    <t xml:space="preserve">Legacy / low engagement</t>
  </si>
  <si>
    <t xml:space="preserve">OBSERVED: 14d avg 9,534; pinned 2025-07-11 reel 1.03M</t>
  </si>
  <si>
    <t xml:space="preserve">2025-07-11 pinned 1.03M reel; sibling characters Auntie Aurora / Nana Nessa</t>
  </si>
  <si>
    <t xml:space="preserve">Mature, consistent</t>
  </si>
  <si>
    <t xml:space="preserve">OBSERVED: last-12 avg 99,531; 14d avg 25,533</t>
  </si>
  <si>
    <t xml:space="preserve">07-23 565K reel</t>
  </si>
  <si>
    <t xml:space="preserve">Mature, slowing cadence</t>
  </si>
  <si>
    <t xml:space="preserve">VERIFIED IDENTITY</t>
  </si>
  <si>
    <t xml:space="preserve">LIVE STATUS</t>
  </si>
  <si>
    <t xml:space="preserve">CAREER TIMELINE</t>
  </si>
  <si>
    <t xml:space="preserve">SOCIAL GRAPH</t>
  </si>
  <si>
    <t xml:space="preserve">Sufficiency score (0-1)</t>
  </si>
  <si>
    <t xml:space="preserve">Basis / notes</t>
  </si>
  <si>
    <t xml:space="preserve">YES</t>
  </si>
  <si>
    <t xml:space="preserve">Identity: canonical account clear (badge, self-declared AI/creator, or referenced by other characters) | Fame: followers + visible likes/comments on &gt;=12 posts | Live: dated posts within last 14 days | Timeline: full post history loaded (debut = first post) | Social: &gt;=3 fictional-character links observed (in or out)</t>
  </si>
  <si>
    <t xml:space="preserve">PARTIAL</t>
  </si>
  <si>
    <t xml:space="preserve">NO</t>
  </si>
  <si>
    <t xml:space="preserve">Identity: name/content match but no badge or cross-references; copycats or naming ambiguity exist | Fame: followers + visible likes/comments on &gt;=12 posts | Live: dated posts within last 14 days | Timeline: full post history loaded (debut = first post) | Social: no character links observed</t>
  </si>
  <si>
    <t xml:space="preserve">Identity: name/content match but no badge or cross-references; copycats or naming ambiguity exist | Fame: followers + visible likes/comments on &gt;=12 posts | Live: dated posts within last 14 days | Timeline: full post history loaded (debut = first post) | Social: 1-2 character links or only brands/creators</t>
  </si>
  <si>
    <t xml:space="preserve">Identity: canonical account clear (badge, self-declared AI/creator, or referenced by other characters) | Fame: followers + visible likes/comments on &gt;=12 posts | Live: dated posts within last 14 days | Timeline: full post history loaded (debut = first post) | Social: 1-2 character links or only brands/creators</t>
  </si>
  <si>
    <t xml:space="preserve">Identity: name/content match but no badge or cross-references; copycats or naming ambiguity exist | Fame: likes hidden or sample limited | Live: dated posts within last 14 days | Timeline: full post history loaded (debut = first post) | Social: 1-2 character links or only brands/creators</t>
  </si>
  <si>
    <t xml:space="preserve">Identity: canonical account clear (badge, self-declared AI/creator, or referenced by other characters) | Fame: likes hidden or sample limited | Live: dated posts within last 14 days | Timeline: only a recent sample loaded - debut not verifiable | Social: &gt;=3 fictional-character links observed (in or out)</t>
  </si>
  <si>
    <t xml:space="preserve">Identity: canonical account clear (badge, self-declared AI/creator, or referenced by other characters) | Fame: followers + visible likes/comments on &gt;=12 posts | Live: dated posts within last 14 days | Timeline: only a recent sample loaded - debut not verifiable | Social: &gt;=3 fictional-character links observed (in or out)</t>
  </si>
  <si>
    <t xml:space="preserve">Identity: name/content match but no badge or cross-references; copycats or naming ambiguity exist | Fame: followers + visible likes/comments on &gt;=12 posts | Live: dated posts within last 14 days | Timeline: only a recent sample loaded - debut not verifiable | Social: &gt;=3 fictional-character links observed (in or out)</t>
  </si>
  <si>
    <t xml:space="preserve">Identity: canonical account clear (badge, self-declared AI/creator, or referenced by other characters) | Fame: followers + visible likes/comments on &gt;=12 posts | Live: dated posts within last 14 days | Timeline: only a recent sample loaded - debut not verifiable | Social: 1-2 character links or only brands/creators</t>
  </si>
  <si>
    <t xml:space="preserve">Identity: name/content match but no badge or cross-references; copycats or naming ambiguity exist | Fame: likes hidden or sample limited | Live: dated posts within last 14 days | Timeline: no post history captured | Social: &gt;=3 fictional-character links observed (in or out)</t>
  </si>
  <si>
    <t xml:space="preserve">Identity: name/content match but no badge or cross-references; copycats or naming ambiguity exist | Fame: followers + visible likes/comments on &gt;=12 posts | Live: dated posts within last 14 days | Timeline: full post history loaded (debut = first post) | Social: &gt;=3 fictional-character links observed (in or out)</t>
  </si>
  <si>
    <t xml:space="preserve">Identity: canonical account clear (badge, self-declared AI/creator, or referenced by other characters) | Fame: followers + visible likes/comments on &gt;=12 posts | Live: dated posts within last 14 days | Timeline: only a recent sample loaded - debut not verifiable | Social: no character links observed</t>
  </si>
  <si>
    <t xml:space="preserve">Identity: name/content match but no badge or cross-references; copycats or naming ambiguity exist | Fame: followers + visible likes/comments on &gt;=12 posts | Live: dated posts within last 14 days | Timeline: only a recent sample loaded - debut not verifiable | Social: no character links observed</t>
  </si>
  <si>
    <t xml:space="preserve">Identity: canonical account clear (badge, self-declared AI/creator, or referenced by other characters) | Fame: likes hidden or sample limited | Live: dated posts within last 14 days | Timeline: only a recent sample loaded - debut not verifiable | Social: 1-2 character links or only brands/creators</t>
  </si>
  <si>
    <t xml:space="preserve">Identity: canonical account clear (badge, self-declared AI/creator, or referenced by other characters) | Fame: followers + visible likes/comments on &gt;=12 posts | Live: last post &gt;14 days ago or not captured | Timeline: only a recent sample loaded - debut not verifiable | Social: 1-2 character links or only brands/creators</t>
  </si>
  <si>
    <t xml:space="preserve">Identity: canonical account clear (badge, self-declared AI/creator, or referenced by other characters) | Fame: followers + visible likes/comments on &gt;=12 posts | Live: last post &gt;14 days ago or not captured | Timeline: only a recent sample loaded - debut not verifiable | Social: &gt;=3 fictional-character links observed (in or out)</t>
  </si>
  <si>
    <t xml:space="preserve">Identity: name/content match but no badge or cross-references; copycats or naming ambiguity exist | Fame: likes hidden or sample limited | Live: last post &gt;14 days ago or not captured | Timeline: no post history captured | Social: no character links observed</t>
  </si>
  <si>
    <t xml:space="preserve">#</t>
  </si>
  <si>
    <t xml:space="preserve">Source type</t>
  </si>
  <si>
    <t xml:space="preserve">Title / account</t>
  </si>
  <si>
    <t xml:space="preserve">URL</t>
  </si>
  <si>
    <t xml:space="preserve">Accessed</t>
  </si>
  <si>
    <t xml:space="preserve">Used for</t>
  </si>
  <si>
    <t xml:space="preserve">Method (primary data)</t>
  </si>
  <si>
    <t xml:space="preserve">Instagram web app - profile pages fetched in the user's logged-in Chrome; metrics read from the page's own GraphQL responses (PolarisProfilePageContentQuery: followers/following/posts/bio/link; PolarisProfilePostsQuery: per-post date, likes, comments, caption, tags, co-authors, pinned flag)</t>
  </si>
  <si>
    <t xml:space="preserve">https://www.instagram.com/</t>
  </si>
  <si>
    <t xml:space="preserve">2026-10-09</t>
  </si>
  <si>
    <t xml:space="preserve">All follower, post, like, comment, date, bio and tag data. Reel view counts are not exposed to non-owners (UNKNOWN).</t>
  </si>
  <si>
    <t xml:space="preserve">Method (discovery)</t>
  </si>
  <si>
    <t xml:space="preserve">Instagram search (topsearch) + Instagram 'suggested accounts' on each profile + tags/mentions in captions</t>
  </si>
  <si>
    <t xml:space="preserve">https://www.instagram.com/explore/</t>
  </si>
  <si>
    <t xml:space="preserve">Finding handles for seeds and similar characters</t>
  </si>
  <si>
    <t xml:space="preserve">Secondary (non-IG)</t>
  </si>
  <si>
    <t xml:space="preserve">Dexerto - Who is Jean Phil? AI character behind multimillion-dollar meme coin</t>
  </si>
  <si>
    <t xml:space="preserve">https://www.dexerto.com/tiktok/who-is-jean-phil-ai-character-behind-multimillion-dollar-meme-coin-sparks-fake-persona-trend-3412528/</t>
  </si>
  <si>
    <t xml:space="preserve">Context only: $JEANPHIL, $ARCHIBROWN, $DRMR tickers; earlier follower counts</t>
  </si>
  <si>
    <t xml:space="preserve">Dexerto - Who is Benjamin Stachio?</t>
  </si>
  <si>
    <t xml:space="preserve">https://www.dexerto.com/entertainment/who-is-benjamin-stachio-viral-triple-mustache-man-with-thick-neck-is-actually-an-ai-character-3414228/</t>
  </si>
  <si>
    <t xml:space="preserve">Context only: X repost 1.5M views; no crypto at 09-30</t>
  </si>
  <si>
    <t xml:space="preserve">Sprites.ai - Weird AI Characters: Jean Phil, Benjamin Stachio and More</t>
  </si>
  <si>
    <t xml:space="preserve">https://www.sprites.ai/ai-characters</t>
  </si>
  <si>
    <t xml:space="preserve">Context only: wave chronology, Jade Orlhabit, Nigel Batt, Brigitte Macaron 16M views claim</t>
  </si>
  <si>
    <t xml:space="preserve">KuCoin News / HodlFM - AI characters are taking over Instagram and memecoins</t>
  </si>
  <si>
    <t xml:space="preserve">https://www.kucoin.com/news/insight/SOL/6ac4e7e938a264000792d4c5</t>
  </si>
  <si>
    <t xml:space="preserve">Context only: Higgsfield + memecoin playbook</t>
  </si>
  <si>
    <t xml:space="preserve">LADbible - bloke from weird bar dance video isn't actually real</t>
  </si>
  <si>
    <t xml:space="preserve">https://www.ladbible.com/technology/benjamin-stachio-not-real-bar-dance-video-895227-20261002</t>
  </si>
  <si>
    <t xml:space="preserve">Recognizability rating (press coverage) - not opened</t>
  </si>
  <si>
    <t xml:space="preserve">EarlyGame - This Influencer Doesn't Exist (Jean Phil)</t>
  </si>
  <si>
    <t xml:space="preserve">https://earlygame.com/news/entertainment/this-influencer-doesnt-exist-jean-phil-leaves-the-internet-fooled</t>
  </si>
  <si>
    <t xml:space="preserve">Gens d'Internet - Jean Philanthrope, Archibald Brown… qui sont ces créateurs IA</t>
  </si>
  <si>
    <t xml:space="preserve">https://gensdinternet.fr/?p=46553</t>
  </si>
  <si>
    <t xml:space="preserve">Instagram profile (primary)</t>
  </si>
  <si>
    <t xml:space="preserve">@jean_philanthrope - Jean Phil</t>
  </si>
  <si>
    <t xml:space="preserve">Followers, posts, bio, link, last 12-60 posts (likes, comments, dates, captions, tags). Status: INCLUDED</t>
  </si>
  <si>
    <t xml:space="preserve">@benjamin_stachio - Benjamin Stachio</t>
  </si>
  <si>
    <t xml:space="preserve">@lord.farquaad.sol - Lord Farquaad (parody account)</t>
  </si>
  <si>
    <t xml:space="preserve">@archibald_brown - Archibald Brown</t>
  </si>
  <si>
    <t xml:space="preserve">@abu.shalab - Abu Shalab</t>
  </si>
  <si>
    <t xml:space="preserve">@brigittemacaron_ - Brigitte Macaron</t>
  </si>
  <si>
    <t xml:space="preserve">@bill_smith_prince - Bill Smith Prince</t>
  </si>
  <si>
    <t xml:space="preserve">@derek.mercer.2006 - Derek Mercer</t>
  </si>
  <si>
    <t xml:space="preserve">@abunuttyofficial - Abu Nutty</t>
  </si>
  <si>
    <t xml:space="preserve">@casper.iggy - Casper the Italian Greyhound</t>
  </si>
  <si>
    <t xml:space="preserve">@candy.greyhound - Candy the Greyhound</t>
  </si>
  <si>
    <t xml:space="preserve">@don.gorillo - Don Gorillo Mkrtchyan</t>
  </si>
  <si>
    <t xml:space="preserve">@miltonbumford - Milton Bumford</t>
  </si>
  <si>
    <t xml:space="preserve">@sickmanai - Sickman</t>
  </si>
  <si>
    <t xml:space="preserve">@ia.vacalha - Cuca Beludo</t>
  </si>
  <si>
    <t xml:space="preserve">@caramelinho.ia - Caramelinho</t>
  </si>
  <si>
    <t xml:space="preserve">@abu.yalla - Abu Yalla</t>
  </si>
  <si>
    <t xml:space="preserve">@abdoul.cheqri - Abdoul Cheqri</t>
  </si>
  <si>
    <t xml:space="preserve">@percival_ashcrofttt - Percival Ashcroft</t>
  </si>
  <si>
    <t xml:space="preserve">@edmond_lebon - Edmond Lebon</t>
  </si>
  <si>
    <t xml:space="preserve">@vuluzamal - Vulu Zamal</t>
  </si>
  <si>
    <t xml:space="preserve">@imranpoppadumb - Imran Poppadumb</t>
  </si>
  <si>
    <t xml:space="preserve">@tony_ravioliano - Tony Ravioliano</t>
  </si>
  <si>
    <t xml:space="preserve">@don_nuger - Don Nuger</t>
  </si>
  <si>
    <t xml:space="preserve">@mr._stretchy - Mr. Stretchy</t>
  </si>
  <si>
    <t xml:space="preserve">@ms.stretchy - Ms. Stretchy</t>
  </si>
  <si>
    <t xml:space="preserve">@pik.vik1 - Pik Vik (Shadow &amp; Milo)</t>
  </si>
  <si>
    <t xml:space="preserve">@lilmiquela - Lil Miquela</t>
  </si>
  <si>
    <t xml:space="preserve">@grannyspills - Granny Spills</t>
  </si>
  <si>
    <t xml:space="preserve">@auntieauroraa - Auntie Aurora</t>
  </si>
  <si>
    <t xml:space="preserve">@nobodysausage - Nobody Sausage</t>
  </si>
  <si>
    <t xml:space="preserve">@fit_aitana - Aitana Lopez</t>
  </si>
  <si>
    <t xml:space="preserve">@imma.gram - Imma</t>
  </si>
  <si>
    <t xml:space="preserve">@miazelu - Mia Zelu</t>
  </si>
  <si>
    <t xml:space="preserve">@kyraonig - Kyra</t>
  </si>
  <si>
    <t xml:space="preserve">@shudu.gram - Shudu</t>
  </si>
  <si>
    <t xml:space="preserve">@bigfootvlog - Bigfoot Vlog</t>
  </si>
  <si>
    <t xml:space="preserve">@tillynorwood - Tilly Norwood</t>
  </si>
  <si>
    <t xml:space="preserve">@dequavious_von - Dequavious Von</t>
  </si>
  <si>
    <t xml:space="preserve">Followers, posts, bio, link, last 12-60 posts (likes, comments, dates, captions, tags). Status: WATCHLIST</t>
  </si>
  <si>
    <t xml:space="preserve">@jadeorlhabit_ - Jade Orlhabit</t>
  </si>
  <si>
    <t xml:space="preserve">@evildogi - Official Evil Dog</t>
  </si>
  <si>
    <t xml:space="preserve">@mr_twirlo - Mr Twirlo</t>
  </si>
  <si>
    <t xml:space="preserve">@keekoiman - Kee-Koi-Man</t>
  </si>
  <si>
    <t xml:space="preserve">@lutherlongford - Luther Longford</t>
  </si>
  <si>
    <t xml:space="preserve">@itsarchiepimm - Archie Pimm</t>
  </si>
  <si>
    <t xml:space="preserve">@abdulbigote - Abdul Bigote</t>
  </si>
  <si>
    <t xml:space="preserve">@nigelbattofficial - Nigel Batt</t>
  </si>
  <si>
    <t xml:space="preserve">@jeanphilanthrope.co - Jean Philanthrope 'Evil Twin'</t>
  </si>
  <si>
    <t xml:space="preserve">Followers, posts, bio, link, last 12-60 posts (likes, comments, dates, captions, tags). Status: EXCLUDED</t>
  </si>
  <si>
    <t xml:space="preserve">@brigitte_macaron_ - Brigitte Macaron (copycat)</t>
  </si>
  <si>
    <t xml:space="preserve">@phil_john_jean - Phil Jean</t>
  </si>
  <si>
    <t xml:space="preserve">@noonoouri - Noonoouri</t>
  </si>
  <si>
    <t xml:space="preserve">@rozy.gram - Rozy</t>
  </si>
  <si>
    <t xml:space="preserve">@blawko22 - Blawko</t>
  </si>
  <si>
    <t xml:space="preserve">@bermudaisbae - Bermuda</t>
  </si>
  <si>
    <t xml:space="preserve">@lafeve7 - La Fève</t>
  </si>
  <si>
    <t xml:space="preserve">@the_grandshow - The Grand Show</t>
  </si>
  <si>
    <t xml:space="preserve">@bunnychaosai - (AI animal stories)</t>
  </si>
  <si>
    <t xml:space="preserve">@general.shavin - Ivan Savin</t>
  </si>
  <si>
    <t xml:space="preserve">@phantompaws.co - PhantomPaws.co</t>
  </si>
  <si>
    <t xml:space="preserve">@marcel_philan - Marcel Philan</t>
  </si>
  <si>
    <t xml:space="preserve">@knox_frost - (Knox Frost search result)</t>
  </si>
  <si>
    <t xml:space="preserve">@emily.pellegrini - (Emily Pellegrini search result)</t>
  </si>
  <si>
    <t xml:space="preserve">Instagram post (evidence)</t>
  </si>
  <si>
    <t xml:space="preserve">@jean_philanthrope</t>
  </si>
  <si>
    <t xml:space="preserve">Evidence: debut</t>
  </si>
  <si>
    <t xml:space="preserve">Evidence: top</t>
  </si>
  <si>
    <t xml:space="preserve">https://www.instagram.com/p/Ddb4D8_qH_E/</t>
  </si>
  <si>
    <t xml:space="preserve">Evidence:</t>
  </si>
  <si>
    <t xml:space="preserve">https://www.instagram.com/p/DdeBU0CK14n/</t>
  </si>
  <si>
    <t xml:space="preserve">Evidence: latest (PFW/Stella McCartney)</t>
  </si>
  <si>
    <t xml:space="preserve">Evidence: @lafeve7</t>
  </si>
  <si>
    <t xml:space="preserve">@benjamin_stachio</t>
  </si>
  <si>
    <t xml:space="preserve">Evidence: viral</t>
  </si>
  <si>
    <t xml:space="preserve">https://www.instagram.com/p/DeMs_zftQSm/</t>
  </si>
  <si>
    <t xml:space="preserve">Evidence: song 'Shut It'</t>
  </si>
  <si>
    <t xml:space="preserve">https://www.instagram.com/p/DeMc0YJBHjU/</t>
  </si>
  <si>
    <t xml:space="preserve">Evidence: teaser</t>
  </si>
  <si>
    <t xml:space="preserve">@lord.farquaad.sol</t>
  </si>
  <si>
    <t xml:space="preserve">https://www.instagram.com/p/Ddzz7F1hYlR/</t>
  </si>
  <si>
    <t xml:space="preserve">https://www.instagram.com/p/Dd4wdxZh3fs/</t>
  </si>
  <si>
    <t xml:space="preserve">Evidence: 40k milestone</t>
  </si>
  <si>
    <t xml:space="preserve">Evidence: #higgsfieldpartner</t>
  </si>
  <si>
    <t xml:space="preserve">https://www.instagram.com/p/DdvPCA8hQ63/</t>
  </si>
  <si>
    <t xml:space="preserve">Evidence: early</t>
  </si>
  <si>
    <t xml:space="preserve">@archibald_brown</t>
  </si>
  <si>
    <t xml:space="preserve">Evidence: Jean call-out</t>
  </si>
  <si>
    <t xml:space="preserve">Evidence: 'you're next'</t>
  </si>
  <si>
    <t xml:space="preserve">Evidence: UFC 'opportunity'</t>
  </si>
  <si>
    <t xml:space="preserve">Evidence: 'Mike met the man himself'</t>
  </si>
  <si>
    <t xml:space="preserve">@abu.shalab</t>
  </si>
  <si>
    <t xml:space="preserve">https://www.instagram.com/p/DdxCLS5NMRz/</t>
  </si>
  <si>
    <t xml:space="preserve">https://www.instagram.com/p/DdyLrNpt3UU/</t>
  </si>
  <si>
    <t xml:space="preserve">https://www.instagram.com/p/DdzcjsYtSxs/</t>
  </si>
  <si>
    <t xml:space="preserve">Evidence: 'A pump might be fun'</t>
  </si>
  <si>
    <t xml:space="preserve">https://www.instagram.com/p/DeAn0u0Dc9M/</t>
  </si>
  <si>
    <t xml:space="preserve">Evidence: '$ABU Officially on Chain'</t>
  </si>
  <si>
    <t xml:space="preserve">@brigittemacaron_</t>
  </si>
  <si>
    <t xml:space="preserve">Evidence: top (TikTok milestone)</t>
  </si>
  <si>
    <t xml:space="preserve">Evidence: 'La Jeanconde'</t>
  </si>
  <si>
    <t xml:space="preserve">https://www.instagram.com/p/Dd6B7oYNEhb/</t>
  </si>
  <si>
    <t xml:space="preserve">Evidence: Fashion Week</t>
  </si>
  <si>
    <t xml:space="preserve">@bill_smith_prince</t>
  </si>
  <si>
    <t xml:space="preserve">https://www.instagram.com/p/DdmSujhN2mt/</t>
  </si>
  <si>
    <t xml:space="preserve">https://www.instagram.com/p/DdoPdKptxDF/</t>
  </si>
  <si>
    <t xml:space="preserve">Evidence: top (Gucci joke)</t>
  </si>
  <si>
    <t xml:space="preserve">Distinctiveness = analyst ratings (blue inputs in ALL CANDIDATES). Ties keep sheet order.</t>
  </si>
  <si>
    <t xml:space="preserve">Index candidate score = 0.35 Fame + 0.30 Momentum + 0.20 Distinctiveness + 0.15 Data sufficiency (x100). Weights editable in SCORING METHOD.</t>
  </si>
  <si>
    <t xml:space="preserve">SCORING METHOD &amp; ASSUMPTIONS</t>
  </si>
  <si>
    <t xml:space="preserve">Blue cells are editable inputs. All scores in ALL CANDIDATES recalculate from these weights and the raw Instagram metrics.</t>
  </si>
  <si>
    <t xml:space="preserve">Parameter</t>
  </si>
  <si>
    <t xml:space="preserve">Description</t>
  </si>
  <si>
    <t xml:space="preserve">Value</t>
  </si>
  <si>
    <t xml:space="preserve">ASOF</t>
  </si>
  <si>
    <t xml:space="preserve">Data capture date (as-of date for recency/age calcs)</t>
  </si>
  <si>
    <t xml:space="preserve">W_F_FOL</t>
  </si>
  <si>
    <t xml:space="preserve">Fame weight - followers (log scale: 1K=0, 10M=1)</t>
  </si>
  <si>
    <t xml:space="preserve">W_F_ENG</t>
  </si>
  <si>
    <t xml:space="preserve">Fame weight - avg likes last 12 posts (log: 100=0, 1M=1)</t>
  </si>
  <si>
    <t xml:space="preserve">W_F_VIR</t>
  </si>
  <si>
    <t xml:space="preserve">Fame weight - max likes on any analysed post (log: 1K=0, 10M=1)</t>
  </si>
  <si>
    <t xml:space="preserve">W_F_CON</t>
  </si>
  <si>
    <t xml:space="preserve">Fame weight - consistency: posts in last 30d / 20 (capped at 1)</t>
  </si>
  <si>
    <t xml:space="preserve">W_F_LON</t>
  </si>
  <si>
    <t xml:space="preserve">Fame weight - longevity: max(days since first visible post / 730, (log10(posts)-1)/2.5)</t>
  </si>
  <si>
    <t xml:space="preserve">W_F_REC</t>
  </si>
  <si>
    <t xml:space="preserve">Fame weight - recognizability: 40% verified badge + 60% manual rating (0-5)</t>
  </si>
  <si>
    <t xml:space="preserve">W_M_ENG</t>
  </si>
  <si>
    <t xml:space="preserve">Momentum weight - recent engagement = LOWER of (avg likes, last 14d) and (avg likes, last 12 posts), log: 100=0, 1M=1. Using the lower value penalises accounts that are decaying inside the window</t>
  </si>
  <si>
    <t xml:space="preserve">W_M_VIR</t>
  </si>
  <si>
    <t xml:space="preserve">Momentum weight - top post likes in last 14d (log: 1K=0, 10M=1)</t>
  </si>
  <si>
    <t xml:space="preserve">W_M_FRQ</t>
  </si>
  <si>
    <t xml:space="preserve">Momentum weight - posts in last 14d / 14 (1 post/day = full)</t>
  </si>
  <si>
    <t xml:space="preserve">W_M_GRO</t>
  </si>
  <si>
    <t xml:space="preserve">Momentum weight - followers gained per day since first visible post (log: 100/day=0, ~31.6K/day=1). Only when first visible post &lt;=60 days old AND &gt;=50% of posts were analysed; else 0</t>
  </si>
  <si>
    <t xml:space="preserve">W_M_ATT</t>
  </si>
  <si>
    <t xml:space="preserve">Momentum weight - recency: 1 if last post &lt;=3 days ago, linear to 0 at 30 days</t>
  </si>
  <si>
    <t xml:space="preserve">W_I_FAME</t>
  </si>
  <si>
    <t xml:space="preserve">Index candidate weight - Fame Score</t>
  </si>
  <si>
    <t xml:space="preserve">W_I_MOM</t>
  </si>
  <si>
    <t xml:space="preserve">Index candidate weight - Momentum Score</t>
  </si>
  <si>
    <t xml:space="preserve">W_I_DIS</t>
  </si>
  <si>
    <t xml:space="preserve">Index candidate weight - Distinctiveness Score</t>
  </si>
  <si>
    <t xml:space="preserve">W_I_SUF</t>
  </si>
  <si>
    <t xml:space="preserve">Index candidate weight - Data sufficiency (0-1 x 100)</t>
  </si>
  <si>
    <t xml:space="preserve">Check: Fame weights sum</t>
  </si>
  <si>
    <t xml:space="preserve">Check: Momentum weights sum</t>
  </si>
  <si>
    <t xml:space="preserve">Check: Index weights sum</t>
  </si>
  <si>
    <t xml:space="preserve">DEFINITIONS</t>
  </si>
  <si>
    <t xml:space="preserve">Avg/median likes &amp; comments = the 12 most recent NON-PINNED posts. Posts whose like count is hidden by the owner (Instagram returns a placeholder of 3) are excluded from like averages and counted in 'Likes hidden'.</t>
  </si>
  <si>
    <t xml:space="preserve">Posts last 7d counts every post; posts last 14d / 30d exclude pinned posts and only count posts inside the analysed sample (lower bound when the sample is shorter than the window).</t>
  </si>
  <si>
    <t xml:space="preserve">14-day window = posts dated on/after 2026-09-25 12:00 UTC.</t>
  </si>
  <si>
    <t xml:space="preserve">Engagement rate = (avg likes + avg comments) / followers. Engagement level: Very high &gt;=5%, High &gt;=2%, Medium &gt;=0.5%, Low &lt;0.5%.</t>
  </si>
  <si>
    <t xml:space="preserve">Reel view/play counts are NOT exposed to non-owners on Instagram web -&gt; not captured (UNKNOWN). Likes are used as the reach proxy.</t>
  </si>
  <si>
    <t xml:space="preserve">Distinctiveness Score = (visual + personality + lore + cross-character) manual ratings (each 0-5, blue inputs) / 20 x 100. Ratings are analyst judgements based on the observed posts/bios.</t>
  </si>
  <si>
    <t xml:space="preserve">Recognizability rating (0-5, blue input) = analyst judgement: verified badge, press coverage found (non-IG, see SOURCES), and how often other characters reference the account.</t>
  </si>
  <si>
    <t xml:space="preserve">Data sufficiency = (YES=1, PARTIAL=0.5, NO=0) averaged over the five flags in DATA SUFFICIENCY.</t>
  </si>
  <si>
    <t xml:space="preserve">Rankings (TOP sheets) only include rows with Inclusion status = INCLUDED; ties are broken by row order.</t>
  </si>
  <si>
    <t xml:space="preserve">OBSERVED = seen directly on Instagram (profile, captions, tags, counts). INFERRED = analyst interpretation of observed material. UNKNOWN = not verifiable from Instagram.</t>
  </si>
  <si>
    <t xml:space="preserve">Followers/likes are point-in-time snapshots (2026-10-09, UTC+8) and change hourly for fast-growing accounts.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</si>
</sst>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"/>
    <numFmt numFmtId="167" formatCode="General"/>
    <numFmt numFmtId="168" formatCode="0.00%"/>
    <numFmt numFmtId="169" formatCode="yyyy\-mm\-dd"/>
    <numFmt numFmtId="170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Noto Sans CJK SC"/>
      <family val="2"/>
    </font>
    <font>
      <sz val="10"/>
      <name val="Arial"/>
      <family val="2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nstagram.com/jean_philanthrope/" TargetMode="External"/><Relationship Id="rId2" Type="http://schemas.openxmlformats.org/officeDocument/2006/relationships/hyperlink" Target="https://www.instagram.com/benjamin_stachio/" TargetMode="External"/><Relationship Id="rId3" Type="http://schemas.openxmlformats.org/officeDocument/2006/relationships/hyperlink" Target="https://www.instagram.com/lord.farquaad.sol/" TargetMode="External"/><Relationship Id="rId4" Type="http://schemas.openxmlformats.org/officeDocument/2006/relationships/hyperlink" Target="https://www.instagram.com/archibald_brown/" TargetMode="External"/><Relationship Id="rId5" Type="http://schemas.openxmlformats.org/officeDocument/2006/relationships/hyperlink" Target="https://www.instagram.com/abu.shalab/" TargetMode="External"/><Relationship Id="rId6" Type="http://schemas.openxmlformats.org/officeDocument/2006/relationships/hyperlink" Target="https://www.instagram.com/brigittemacaron_/" TargetMode="External"/><Relationship Id="rId7" Type="http://schemas.openxmlformats.org/officeDocument/2006/relationships/hyperlink" Target="https://www.instagram.com/bill_smith_prince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instagram.com/jean_philanthrope/" TargetMode="External"/><Relationship Id="rId3" Type="http://schemas.openxmlformats.org/officeDocument/2006/relationships/hyperlink" Target="https://www.instagram.com/p/Ddb0QUyqnhG/" TargetMode="External"/><Relationship Id="rId4" Type="http://schemas.openxmlformats.org/officeDocument/2006/relationships/hyperlink" Target="https://www.instagram.com/p/Ddy7hfsiPyt/" TargetMode="External"/><Relationship Id="rId5" Type="http://schemas.openxmlformats.org/officeDocument/2006/relationships/hyperlink" Target="https://www.instagram.com/benjamin_stachio/" TargetMode="External"/><Relationship Id="rId6" Type="http://schemas.openxmlformats.org/officeDocument/2006/relationships/hyperlink" Target="https://www.instagram.com/p/Dd2joiwTDJv/" TargetMode="External"/><Relationship Id="rId7" Type="http://schemas.openxmlformats.org/officeDocument/2006/relationships/hyperlink" Target="https://www.instagram.com/p/Dd4BE9nMR7M/" TargetMode="External"/><Relationship Id="rId8" Type="http://schemas.openxmlformats.org/officeDocument/2006/relationships/hyperlink" Target="https://www.instagram.com/lord.farquaad.sol/" TargetMode="External"/><Relationship Id="rId9" Type="http://schemas.openxmlformats.org/officeDocument/2006/relationships/hyperlink" Target="https://www.instagram.com/p/DdwhswgBSFq/" TargetMode="External"/><Relationship Id="rId10" Type="http://schemas.openxmlformats.org/officeDocument/2006/relationships/hyperlink" Target="https://www.instagram.com/p/DdwhswgBSFq/" TargetMode="External"/><Relationship Id="rId11" Type="http://schemas.openxmlformats.org/officeDocument/2006/relationships/hyperlink" Target="https://www.instagram.com/archibald_brown/" TargetMode="External"/><Relationship Id="rId12" Type="http://schemas.openxmlformats.org/officeDocument/2006/relationships/hyperlink" Target="https://www.instagram.com/p/DdmQOpyMNfr/" TargetMode="External"/><Relationship Id="rId13" Type="http://schemas.openxmlformats.org/officeDocument/2006/relationships/hyperlink" Target="https://www.instagram.com/p/DdzwiRxMIMU/" TargetMode="External"/><Relationship Id="rId14" Type="http://schemas.openxmlformats.org/officeDocument/2006/relationships/hyperlink" Target="https://www.instagram.com/abu.shalab/" TargetMode="External"/><Relationship Id="rId15" Type="http://schemas.openxmlformats.org/officeDocument/2006/relationships/hyperlink" Target="https://www.instagram.com/p/Dduf1zGNri-/" TargetMode="External"/><Relationship Id="rId16" Type="http://schemas.openxmlformats.org/officeDocument/2006/relationships/hyperlink" Target="https://www.instagram.com/p/Dduf1zGNri-/" TargetMode="External"/><Relationship Id="rId17" Type="http://schemas.openxmlformats.org/officeDocument/2006/relationships/hyperlink" Target="https://www.instagram.com/brigittemacaron_/" TargetMode="External"/><Relationship Id="rId18" Type="http://schemas.openxmlformats.org/officeDocument/2006/relationships/hyperlink" Target="https://www.instagram.com/p/DeEZ0sEN_Hy/" TargetMode="External"/><Relationship Id="rId19" Type="http://schemas.openxmlformats.org/officeDocument/2006/relationships/hyperlink" Target="https://www.instagram.com/p/DeEZ0sEN_Hy/" TargetMode="External"/><Relationship Id="rId20" Type="http://schemas.openxmlformats.org/officeDocument/2006/relationships/hyperlink" Target="https://www.instagram.com/bill_smith_prince/" TargetMode="External"/><Relationship Id="rId21" Type="http://schemas.openxmlformats.org/officeDocument/2006/relationships/hyperlink" Target="https://www.instagram.com/p/Ddqo1FvtNyH/" TargetMode="External"/><Relationship Id="rId22" Type="http://schemas.openxmlformats.org/officeDocument/2006/relationships/hyperlink" Target="https://www.instagram.com/p/DdtyIBLt2oE/" TargetMode="External"/><Relationship Id="rId23" Type="http://schemas.openxmlformats.org/officeDocument/2006/relationships/hyperlink" Target="https://www.instagram.com/derek.mercer.2006/" TargetMode="External"/><Relationship Id="rId24" Type="http://schemas.openxmlformats.org/officeDocument/2006/relationships/hyperlink" Target="https://www.instagram.com/p/Dd1y2m2sMRB/" TargetMode="External"/><Relationship Id="rId25" Type="http://schemas.openxmlformats.org/officeDocument/2006/relationships/hyperlink" Target="https://www.instagram.com/p/Dd1y2m2sMRB/" TargetMode="External"/><Relationship Id="rId26" Type="http://schemas.openxmlformats.org/officeDocument/2006/relationships/hyperlink" Target="https://www.instagram.com/abunuttyofficial/" TargetMode="External"/><Relationship Id="rId27" Type="http://schemas.openxmlformats.org/officeDocument/2006/relationships/hyperlink" Target="https://www.instagram.com/p/Dd9effMAN2F/" TargetMode="External"/><Relationship Id="rId28" Type="http://schemas.openxmlformats.org/officeDocument/2006/relationships/hyperlink" Target="https://www.instagram.com/casper.iggy/" TargetMode="External"/><Relationship Id="rId29" Type="http://schemas.openxmlformats.org/officeDocument/2006/relationships/hyperlink" Target="https://www.instagram.com/p/Dd85audNoC2/" TargetMode="External"/><Relationship Id="rId30" Type="http://schemas.openxmlformats.org/officeDocument/2006/relationships/hyperlink" Target="https://www.instagram.com/p/Dd85audNoC2/" TargetMode="External"/><Relationship Id="rId31" Type="http://schemas.openxmlformats.org/officeDocument/2006/relationships/hyperlink" Target="https://www.instagram.com/candy.greyhound/" TargetMode="External"/><Relationship Id="rId32" Type="http://schemas.openxmlformats.org/officeDocument/2006/relationships/hyperlink" Target="https://www.instagram.com/p/Dct28DASFLp/" TargetMode="External"/><Relationship Id="rId33" Type="http://schemas.openxmlformats.org/officeDocument/2006/relationships/hyperlink" Target="https://www.instagram.com/p/Dd94Av3RhS0/" TargetMode="External"/><Relationship Id="rId34" Type="http://schemas.openxmlformats.org/officeDocument/2006/relationships/hyperlink" Target="https://www.instagram.com/don.gorillo/" TargetMode="External"/><Relationship Id="rId35" Type="http://schemas.openxmlformats.org/officeDocument/2006/relationships/hyperlink" Target="https://www.instagram.com/p/Ddvayy5Otjf/" TargetMode="External"/><Relationship Id="rId36" Type="http://schemas.openxmlformats.org/officeDocument/2006/relationships/hyperlink" Target="https://www.instagram.com/p/Ddvayy5Otjf/" TargetMode="External"/><Relationship Id="rId37" Type="http://schemas.openxmlformats.org/officeDocument/2006/relationships/hyperlink" Target="https://www.instagram.com/miltonbumford/" TargetMode="External"/><Relationship Id="rId38" Type="http://schemas.openxmlformats.org/officeDocument/2006/relationships/hyperlink" Target="https://www.instagram.com/p/Dd0ONAHuI9A/" TargetMode="External"/><Relationship Id="rId39" Type="http://schemas.openxmlformats.org/officeDocument/2006/relationships/hyperlink" Target="https://www.instagram.com/p/Dd8FTD8OSAo/" TargetMode="External"/><Relationship Id="rId40" Type="http://schemas.openxmlformats.org/officeDocument/2006/relationships/hyperlink" Target="https://www.instagram.com/sickmanai/" TargetMode="External"/><Relationship Id="rId41" Type="http://schemas.openxmlformats.org/officeDocument/2006/relationships/hyperlink" Target="https://www.instagram.com/p/DeHe2fKTvjr/" TargetMode="External"/><Relationship Id="rId42" Type="http://schemas.openxmlformats.org/officeDocument/2006/relationships/hyperlink" Target="https://www.instagram.com/p/DeHpJF0tVOi/" TargetMode="External"/><Relationship Id="rId43" Type="http://schemas.openxmlformats.org/officeDocument/2006/relationships/hyperlink" Target="https://www.instagram.com/ia.vacalha/" TargetMode="External"/><Relationship Id="rId44" Type="http://schemas.openxmlformats.org/officeDocument/2006/relationships/hyperlink" Target="https://www.instagram.com/p/DeK-uSCxbWx/" TargetMode="External"/><Relationship Id="rId45" Type="http://schemas.openxmlformats.org/officeDocument/2006/relationships/hyperlink" Target="https://www.instagram.com/p/DeK-uSCxbWx/" TargetMode="External"/><Relationship Id="rId46" Type="http://schemas.openxmlformats.org/officeDocument/2006/relationships/hyperlink" Target="https://www.instagram.com/caramelinho.ia/" TargetMode="External"/><Relationship Id="rId47" Type="http://schemas.openxmlformats.org/officeDocument/2006/relationships/hyperlink" Target="https://www.instagram.com/p/DeCKb4JIGeG/" TargetMode="External"/><Relationship Id="rId48" Type="http://schemas.openxmlformats.org/officeDocument/2006/relationships/hyperlink" Target="https://www.instagram.com/p/DeCKb4JIGeG/" TargetMode="External"/><Relationship Id="rId49" Type="http://schemas.openxmlformats.org/officeDocument/2006/relationships/hyperlink" Target="https://www.instagram.com/abu.yalla/" TargetMode="External"/><Relationship Id="rId50" Type="http://schemas.openxmlformats.org/officeDocument/2006/relationships/hyperlink" Target="https://www.instagram.com/p/Dd62X7dJbCD/" TargetMode="External"/><Relationship Id="rId51" Type="http://schemas.openxmlformats.org/officeDocument/2006/relationships/hyperlink" Target="https://www.instagram.com/p/Dd9YfOIRK85/" TargetMode="External"/><Relationship Id="rId52" Type="http://schemas.openxmlformats.org/officeDocument/2006/relationships/hyperlink" Target="https://www.instagram.com/abdoul.cheqri/" TargetMode="External"/><Relationship Id="rId53" Type="http://schemas.openxmlformats.org/officeDocument/2006/relationships/hyperlink" Target="https://www.instagram.com/p/Dd9RXFtIbr1/" TargetMode="External"/><Relationship Id="rId54" Type="http://schemas.openxmlformats.org/officeDocument/2006/relationships/hyperlink" Target="https://www.instagram.com/p/Dd7IwUgMkba/" TargetMode="External"/><Relationship Id="rId55" Type="http://schemas.openxmlformats.org/officeDocument/2006/relationships/hyperlink" Target="https://www.instagram.com/percival_ashcrofttt/" TargetMode="External"/><Relationship Id="rId56" Type="http://schemas.openxmlformats.org/officeDocument/2006/relationships/hyperlink" Target="https://www.instagram.com/p/Dd2EhVtx54d/" TargetMode="External"/><Relationship Id="rId57" Type="http://schemas.openxmlformats.org/officeDocument/2006/relationships/hyperlink" Target="https://www.instagram.com/p/Dd_1HzNoS-L/" TargetMode="External"/><Relationship Id="rId58" Type="http://schemas.openxmlformats.org/officeDocument/2006/relationships/hyperlink" Target="https://www.instagram.com/edmond_lebon/" TargetMode="External"/><Relationship Id="rId59" Type="http://schemas.openxmlformats.org/officeDocument/2006/relationships/hyperlink" Target="https://www.instagram.com/p/Dd8LM0NscoW/" TargetMode="External"/><Relationship Id="rId60" Type="http://schemas.openxmlformats.org/officeDocument/2006/relationships/hyperlink" Target="https://www.instagram.com/p/Dd8LM0NscoW/" TargetMode="External"/><Relationship Id="rId61" Type="http://schemas.openxmlformats.org/officeDocument/2006/relationships/hyperlink" Target="https://www.instagram.com/vuluzamal/" TargetMode="External"/><Relationship Id="rId62" Type="http://schemas.openxmlformats.org/officeDocument/2006/relationships/hyperlink" Target="https://www.instagram.com/p/Dd5VDDURAPn/" TargetMode="External"/><Relationship Id="rId63" Type="http://schemas.openxmlformats.org/officeDocument/2006/relationships/hyperlink" Target="https://www.instagram.com/p/Dd5VDDURAPn/" TargetMode="External"/><Relationship Id="rId64" Type="http://schemas.openxmlformats.org/officeDocument/2006/relationships/hyperlink" Target="https://www.instagram.com/imranpoppadumb/" TargetMode="External"/><Relationship Id="rId65" Type="http://schemas.openxmlformats.org/officeDocument/2006/relationships/hyperlink" Target="https://www.instagram.com/p/Dd9pUvWDT_0/" TargetMode="External"/><Relationship Id="rId66" Type="http://schemas.openxmlformats.org/officeDocument/2006/relationships/hyperlink" Target="https://www.instagram.com/p/DeEGSC_AFXs/" TargetMode="External"/><Relationship Id="rId67" Type="http://schemas.openxmlformats.org/officeDocument/2006/relationships/hyperlink" Target="https://www.instagram.com/tony_ravioliano/" TargetMode="External"/><Relationship Id="rId68" Type="http://schemas.openxmlformats.org/officeDocument/2006/relationships/hyperlink" Target="https://www.instagram.com/p/DeAQrgpT11j/" TargetMode="External"/><Relationship Id="rId69" Type="http://schemas.openxmlformats.org/officeDocument/2006/relationships/hyperlink" Target="https://www.instagram.com/p/Dd9rvZeTkeJ/" TargetMode="External"/><Relationship Id="rId70" Type="http://schemas.openxmlformats.org/officeDocument/2006/relationships/hyperlink" Target="https://www.instagram.com/don_nuger/" TargetMode="External"/><Relationship Id="rId71" Type="http://schemas.openxmlformats.org/officeDocument/2006/relationships/hyperlink" Target="https://www.instagram.com/p/Dd-2uFShyCV/" TargetMode="External"/><Relationship Id="rId72" Type="http://schemas.openxmlformats.org/officeDocument/2006/relationships/hyperlink" Target="https://www.instagram.com/p/Dd-2uFShyCV/" TargetMode="External"/><Relationship Id="rId73" Type="http://schemas.openxmlformats.org/officeDocument/2006/relationships/hyperlink" Target="https://www.instagram.com/mr._stretchy/" TargetMode="External"/><Relationship Id="rId74" Type="http://schemas.openxmlformats.org/officeDocument/2006/relationships/hyperlink" Target="https://www.instagram.com/p/DdW8lunNb70/" TargetMode="External"/><Relationship Id="rId75" Type="http://schemas.openxmlformats.org/officeDocument/2006/relationships/hyperlink" Target="https://www.instagram.com/p/DeAcjbDtnuT/" TargetMode="External"/><Relationship Id="rId76" Type="http://schemas.openxmlformats.org/officeDocument/2006/relationships/hyperlink" Target="https://www.instagram.com/ms.stretchy/" TargetMode="External"/><Relationship Id="rId77" Type="http://schemas.openxmlformats.org/officeDocument/2006/relationships/hyperlink" Target="https://www.instagram.com/p/DdH9RnPNA_3/" TargetMode="External"/><Relationship Id="rId78" Type="http://schemas.openxmlformats.org/officeDocument/2006/relationships/hyperlink" Target="https://www.instagram.com/p/Dd1GEHzt04I/" TargetMode="External"/><Relationship Id="rId79" Type="http://schemas.openxmlformats.org/officeDocument/2006/relationships/hyperlink" Target="https://www.instagram.com/pik.vik1/" TargetMode="External"/><Relationship Id="rId80" Type="http://schemas.openxmlformats.org/officeDocument/2006/relationships/hyperlink" Target="https://www.instagram.com/p/Dd6Anomgs5t/" TargetMode="External"/><Relationship Id="rId81" Type="http://schemas.openxmlformats.org/officeDocument/2006/relationships/hyperlink" Target="https://www.instagram.com/p/Dd6Anomgs5t/" TargetMode="External"/><Relationship Id="rId82" Type="http://schemas.openxmlformats.org/officeDocument/2006/relationships/hyperlink" Target="https://www.instagram.com/lilmiquela/" TargetMode="External"/><Relationship Id="rId83" Type="http://schemas.openxmlformats.org/officeDocument/2006/relationships/hyperlink" Target="https://www.instagram.com/p/DXE1ordFGu-/" TargetMode="External"/><Relationship Id="rId84" Type="http://schemas.openxmlformats.org/officeDocument/2006/relationships/hyperlink" Target="https://www.instagram.com/p/DeKPiH-jtIG/" TargetMode="External"/><Relationship Id="rId85" Type="http://schemas.openxmlformats.org/officeDocument/2006/relationships/hyperlink" Target="https://www.instagram.com/grannyspills/" TargetMode="External"/><Relationship Id="rId86" Type="http://schemas.openxmlformats.org/officeDocument/2006/relationships/hyperlink" Target="https://www.instagram.com/p/DL8o9HPtwf0/" TargetMode="External"/><Relationship Id="rId87" Type="http://schemas.openxmlformats.org/officeDocument/2006/relationships/hyperlink" Target="https://www.instagram.com/p/DeCz8Bniv7e/" TargetMode="External"/><Relationship Id="rId88" Type="http://schemas.openxmlformats.org/officeDocument/2006/relationships/hyperlink" Target="https://www.instagram.com/auntieauroraa/" TargetMode="External"/><Relationship Id="rId89" Type="http://schemas.openxmlformats.org/officeDocument/2006/relationships/hyperlink" Target="https://www.instagram.com/p/DTYiD4qEtdU/" TargetMode="External"/><Relationship Id="rId90" Type="http://schemas.openxmlformats.org/officeDocument/2006/relationships/hyperlink" Target="https://www.instagram.com/p/DeKPxSGCo-D/" TargetMode="External"/><Relationship Id="rId91" Type="http://schemas.openxmlformats.org/officeDocument/2006/relationships/hyperlink" Target="https://www.instagram.com/nobodysausage/" TargetMode="External"/><Relationship Id="rId92" Type="http://schemas.openxmlformats.org/officeDocument/2006/relationships/hyperlink" Target="https://www.instagram.com/p/DbI9CnVxzJs/" TargetMode="External"/><Relationship Id="rId93" Type="http://schemas.openxmlformats.org/officeDocument/2006/relationships/hyperlink" Target="https://www.instagram.com/p/Dd1aXmFs8kY/" TargetMode="External"/><Relationship Id="rId94" Type="http://schemas.openxmlformats.org/officeDocument/2006/relationships/hyperlink" Target="https://www.instagram.com/fit_aitana/" TargetMode="External"/><Relationship Id="rId95" Type="http://schemas.openxmlformats.org/officeDocument/2006/relationships/hyperlink" Target="https://www.instagram.com/p/DeHf1OyIzas/" TargetMode="External"/><Relationship Id="rId96" Type="http://schemas.openxmlformats.org/officeDocument/2006/relationships/hyperlink" Target="https://www.instagram.com/p/DeHf1OyIzas/" TargetMode="External"/><Relationship Id="rId97" Type="http://schemas.openxmlformats.org/officeDocument/2006/relationships/hyperlink" Target="https://www.instagram.com/imma.gram/" TargetMode="External"/><Relationship Id="rId98" Type="http://schemas.openxmlformats.org/officeDocument/2006/relationships/hyperlink" Target="https://www.instagram.com/p/DdjHD7akvR8/" TargetMode="External"/><Relationship Id="rId99" Type="http://schemas.openxmlformats.org/officeDocument/2006/relationships/hyperlink" Target="https://www.instagram.com/miazelu/" TargetMode="External"/><Relationship Id="rId100" Type="http://schemas.openxmlformats.org/officeDocument/2006/relationships/hyperlink" Target="https://www.instagram.com/p/DceUOwhgqXK/" TargetMode="External"/><Relationship Id="rId101" Type="http://schemas.openxmlformats.org/officeDocument/2006/relationships/hyperlink" Target="https://www.instagram.com/p/Dd9JtnIC7AY/" TargetMode="External"/><Relationship Id="rId102" Type="http://schemas.openxmlformats.org/officeDocument/2006/relationships/hyperlink" Target="https://www.instagram.com/kyraonig/" TargetMode="External"/><Relationship Id="rId103" Type="http://schemas.openxmlformats.org/officeDocument/2006/relationships/hyperlink" Target="https://www.instagram.com/p/DaftyHNP0qz/" TargetMode="External"/><Relationship Id="rId104" Type="http://schemas.openxmlformats.org/officeDocument/2006/relationships/hyperlink" Target="https://www.instagram.com/shudu.gram/" TargetMode="External"/><Relationship Id="rId105" Type="http://schemas.openxmlformats.org/officeDocument/2006/relationships/hyperlink" Target="https://www.instagram.com/p/DV9MyM8iEAN/" TargetMode="External"/><Relationship Id="rId106" Type="http://schemas.openxmlformats.org/officeDocument/2006/relationships/hyperlink" Target="https://www.instagram.com/bigfootvlog/" TargetMode="External"/><Relationship Id="rId107" Type="http://schemas.openxmlformats.org/officeDocument/2006/relationships/hyperlink" Target="https://www.instagram.com/p/DKSml-3A7rF/" TargetMode="External"/><Relationship Id="rId108" Type="http://schemas.openxmlformats.org/officeDocument/2006/relationships/hyperlink" Target="https://www.instagram.com/p/DePYw13A70F/" TargetMode="External"/><Relationship Id="rId109" Type="http://schemas.openxmlformats.org/officeDocument/2006/relationships/hyperlink" Target="https://www.instagram.com/tillynorwood/" TargetMode="External"/><Relationship Id="rId110" Type="http://schemas.openxmlformats.org/officeDocument/2006/relationships/hyperlink" Target="https://www.instagram.com/p/DdbhN3RBgYT/" TargetMode="External"/><Relationship Id="rId111" Type="http://schemas.openxmlformats.org/officeDocument/2006/relationships/hyperlink" Target="https://www.instagram.com/p/Dd6p3TAx8W1/" TargetMode="External"/><Relationship Id="rId112" Type="http://schemas.openxmlformats.org/officeDocument/2006/relationships/hyperlink" Target="https://www.instagram.com/dequavious_von/" TargetMode="External"/><Relationship Id="rId113" Type="http://schemas.openxmlformats.org/officeDocument/2006/relationships/hyperlink" Target="https://www.instagram.com/jadeorlhabit_/" TargetMode="External"/><Relationship Id="rId114" Type="http://schemas.openxmlformats.org/officeDocument/2006/relationships/hyperlink" Target="https://www.instagram.com/evildogi/" TargetMode="External"/><Relationship Id="rId115" Type="http://schemas.openxmlformats.org/officeDocument/2006/relationships/hyperlink" Target="https://www.instagram.com/mr_twirlo/" TargetMode="External"/><Relationship Id="rId116" Type="http://schemas.openxmlformats.org/officeDocument/2006/relationships/hyperlink" Target="https://www.instagram.com/keekoiman/" TargetMode="External"/><Relationship Id="rId117" Type="http://schemas.openxmlformats.org/officeDocument/2006/relationships/hyperlink" Target="https://www.instagram.com/lutherlongford/" TargetMode="External"/><Relationship Id="rId118" Type="http://schemas.openxmlformats.org/officeDocument/2006/relationships/hyperlink" Target="https://www.instagram.com/itsarchiepimm/" TargetMode="External"/><Relationship Id="rId119" Type="http://schemas.openxmlformats.org/officeDocument/2006/relationships/hyperlink" Target="https://www.instagram.com/abdulbigote/" TargetMode="External"/><Relationship Id="rId120" Type="http://schemas.openxmlformats.org/officeDocument/2006/relationships/hyperlink" Target="https://www.instagram.com/nigelbattofficial/" TargetMode="External"/><Relationship Id="rId121" Type="http://schemas.openxmlformats.org/officeDocument/2006/relationships/hyperlink" Target="https://www.instagram.com/jeanphilanthrope.co/" TargetMode="External"/><Relationship Id="rId122" Type="http://schemas.openxmlformats.org/officeDocument/2006/relationships/hyperlink" Target="https://www.instagram.com/brigitte_macaron_/" TargetMode="External"/><Relationship Id="rId123" Type="http://schemas.openxmlformats.org/officeDocument/2006/relationships/hyperlink" Target="https://www.instagram.com/phil_john_jean/" TargetMode="External"/><Relationship Id="rId124" Type="http://schemas.openxmlformats.org/officeDocument/2006/relationships/hyperlink" Target="https://www.instagram.com/noonoouri/" TargetMode="External"/><Relationship Id="rId125" Type="http://schemas.openxmlformats.org/officeDocument/2006/relationships/hyperlink" Target="https://www.instagram.com/rozy.gram/" TargetMode="External"/><Relationship Id="rId126" Type="http://schemas.openxmlformats.org/officeDocument/2006/relationships/hyperlink" Target="https://www.instagram.com/blawko22/" TargetMode="External"/><Relationship Id="rId127" Type="http://schemas.openxmlformats.org/officeDocument/2006/relationships/hyperlink" Target="https://www.instagram.com/bermudaisbae/" TargetMode="External"/><Relationship Id="rId128" Type="http://schemas.openxmlformats.org/officeDocument/2006/relationships/hyperlink" Target="https://www.instagram.com/lafeve7/" TargetMode="External"/><Relationship Id="rId129" Type="http://schemas.openxmlformats.org/officeDocument/2006/relationships/hyperlink" Target="https://www.instagram.com/the_grandshow/" TargetMode="External"/><Relationship Id="rId130" Type="http://schemas.openxmlformats.org/officeDocument/2006/relationships/hyperlink" Target="https://www.instagram.com/bunnychaosai/" TargetMode="External"/><Relationship Id="rId131" Type="http://schemas.openxmlformats.org/officeDocument/2006/relationships/hyperlink" Target="https://www.instagram.com/general.shavin/" TargetMode="External"/><Relationship Id="rId132" Type="http://schemas.openxmlformats.org/officeDocument/2006/relationships/hyperlink" Target="https://www.instagram.com/phantompaws.co/" TargetMode="External"/><Relationship Id="rId133" Type="http://schemas.openxmlformats.org/officeDocument/2006/relationships/hyperlink" Target="https://www.instagram.com/marcel_philan/" TargetMode="External"/><Relationship Id="rId134" Type="http://schemas.openxmlformats.org/officeDocument/2006/relationships/hyperlink" Target="https://www.instagram.com/knox_frost/" TargetMode="External"/><Relationship Id="rId135" Type="http://schemas.openxmlformats.org/officeDocument/2006/relationships/hyperlink" Target="https://www.instagram.com/emily.pellegrini/" TargetMode="External"/><Relationship Id="rId136" Type="http://schemas.openxmlformats.org/officeDocument/2006/relationships/drawing" Target="../drawings/drawing1.xml"/><Relationship Id="rId137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instagram.com/p/Ddlj-kosQ2h/" TargetMode="External"/><Relationship Id="rId2" Type="http://schemas.openxmlformats.org/officeDocument/2006/relationships/hyperlink" Target="https://www.instagram.com/p/DeIXFGUMxmL/" TargetMode="External"/><Relationship Id="rId3" Type="http://schemas.openxmlformats.org/officeDocument/2006/relationships/hyperlink" Target="https://www.instagram.com/p/DeIXZFdsCGd/" TargetMode="External"/><Relationship Id="rId4" Type="http://schemas.openxmlformats.org/officeDocument/2006/relationships/hyperlink" Target="https://www.instagram.com/p/DdmINpvsuGs/" TargetMode="External"/><Relationship Id="rId5" Type="http://schemas.openxmlformats.org/officeDocument/2006/relationships/hyperlink" Target="https://www.instagram.com/p/Dd6t_drNhuS/" TargetMode="External"/><Relationship Id="rId6" Type="http://schemas.openxmlformats.org/officeDocument/2006/relationships/hyperlink" Target="https://www.instagram.com/p/DdwN0y8t_Xg/" TargetMode="External"/><Relationship Id="rId7" Type="http://schemas.openxmlformats.org/officeDocument/2006/relationships/hyperlink" Target="https://www.instagram.com/p/DeMqmuiiY6J/" TargetMode="External"/><Relationship Id="rId8" Type="http://schemas.openxmlformats.org/officeDocument/2006/relationships/hyperlink" Target="https://www.instagram.com/p/Dd_4AYBiSwh/" TargetMode="External"/><Relationship Id="rId9" Type="http://schemas.openxmlformats.org/officeDocument/2006/relationships/hyperlink" Target="https://www.instagram.com/jadeorlhabit_/" TargetMode="External"/><Relationship Id="rId10" Type="http://schemas.openxmlformats.org/officeDocument/2006/relationships/hyperlink" Target="https://www.instagram.com/p/Ddqo1FvtNyH/" TargetMode="External"/><Relationship Id="rId11" Type="http://schemas.openxmlformats.org/officeDocument/2006/relationships/hyperlink" Target="https://www.instagram.com/p/DeOsvhjhDoP/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instagram.com/p/DdZ3IkKiiXx/" TargetMode="External"/><Relationship Id="rId2" Type="http://schemas.openxmlformats.org/officeDocument/2006/relationships/hyperlink" Target="https://www.instagram.com/p/DdzqxONPLaG/" TargetMode="External"/><Relationship Id="rId3" Type="http://schemas.openxmlformats.org/officeDocument/2006/relationships/hyperlink" Target="https://www.instagram.com/p/Ddhr_xBsuRK/" TargetMode="External"/><Relationship Id="rId4" Type="http://schemas.openxmlformats.org/officeDocument/2006/relationships/hyperlink" Target="https://www.instagram.com/p/DduMth6NxfU/" TargetMode="External"/><Relationship Id="rId5" Type="http://schemas.openxmlformats.org/officeDocument/2006/relationships/hyperlink" Target="https://www.instagram.com/p/DdwN0y8t_Xg/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instagram.com/" TargetMode="External"/><Relationship Id="rId2" Type="http://schemas.openxmlformats.org/officeDocument/2006/relationships/hyperlink" Target="https://www.instagram.com/explore/" TargetMode="External"/><Relationship Id="rId3" Type="http://schemas.openxmlformats.org/officeDocument/2006/relationships/hyperlink" Target="https://www.dexerto.com/tiktok/who-is-jean-phil-ai-character-behind-multimillion-dollar-meme-coin-sparks-fake-persona-trend-3412528/" TargetMode="External"/><Relationship Id="rId4" Type="http://schemas.openxmlformats.org/officeDocument/2006/relationships/hyperlink" Target="https://www.dexerto.com/entertainment/who-is-benjamin-stachio-viral-triple-mustache-man-with-thick-neck-is-actually-an-ai-character-3414228/" TargetMode="External"/><Relationship Id="rId5" Type="http://schemas.openxmlformats.org/officeDocument/2006/relationships/hyperlink" Target="https://www.sprites.ai/ai-characters" TargetMode="External"/><Relationship Id="rId6" Type="http://schemas.openxmlformats.org/officeDocument/2006/relationships/hyperlink" Target="https://www.kucoin.com/news/insight/SOL/6ac4e7e938a264000792d4c5" TargetMode="External"/><Relationship Id="rId7" Type="http://schemas.openxmlformats.org/officeDocument/2006/relationships/hyperlink" Target="https://www.ladbible.com/technology/benjamin-stachio-not-real-bar-dance-video-895227-20261002" TargetMode="External"/><Relationship Id="rId8" Type="http://schemas.openxmlformats.org/officeDocument/2006/relationships/hyperlink" Target="https://earlygame.com/news/entertainment/this-influencer-doesnt-exist-jean-phil-leaves-the-internet-fooled" TargetMode="External"/><Relationship Id="rId9" Type="http://schemas.openxmlformats.org/officeDocument/2006/relationships/hyperlink" Target="https://gensdinternet.fr/?p=46553" TargetMode="External"/><Relationship Id="rId10" Type="http://schemas.openxmlformats.org/officeDocument/2006/relationships/hyperlink" Target="https://www.instagram.com/jean_philanthrope/" TargetMode="External"/><Relationship Id="rId11" Type="http://schemas.openxmlformats.org/officeDocument/2006/relationships/hyperlink" Target="https://www.instagram.com/benjamin_stachio/" TargetMode="External"/><Relationship Id="rId12" Type="http://schemas.openxmlformats.org/officeDocument/2006/relationships/hyperlink" Target="https://www.instagram.com/lord.farquaad.sol/" TargetMode="External"/><Relationship Id="rId13" Type="http://schemas.openxmlformats.org/officeDocument/2006/relationships/hyperlink" Target="https://www.instagram.com/archibald_brown/" TargetMode="External"/><Relationship Id="rId14" Type="http://schemas.openxmlformats.org/officeDocument/2006/relationships/hyperlink" Target="https://www.instagram.com/abu.shalab/" TargetMode="External"/><Relationship Id="rId15" Type="http://schemas.openxmlformats.org/officeDocument/2006/relationships/hyperlink" Target="https://www.instagram.com/brigittemacaron_/" TargetMode="External"/><Relationship Id="rId16" Type="http://schemas.openxmlformats.org/officeDocument/2006/relationships/hyperlink" Target="https://www.instagram.com/bill_smith_prince/" TargetMode="External"/><Relationship Id="rId17" Type="http://schemas.openxmlformats.org/officeDocument/2006/relationships/hyperlink" Target="https://www.instagram.com/derek.mercer.2006/" TargetMode="External"/><Relationship Id="rId18" Type="http://schemas.openxmlformats.org/officeDocument/2006/relationships/hyperlink" Target="https://www.instagram.com/abunuttyofficial/" TargetMode="External"/><Relationship Id="rId19" Type="http://schemas.openxmlformats.org/officeDocument/2006/relationships/hyperlink" Target="https://www.instagram.com/casper.iggy/" TargetMode="External"/><Relationship Id="rId20" Type="http://schemas.openxmlformats.org/officeDocument/2006/relationships/hyperlink" Target="https://www.instagram.com/candy.greyhound/" TargetMode="External"/><Relationship Id="rId21" Type="http://schemas.openxmlformats.org/officeDocument/2006/relationships/hyperlink" Target="https://www.instagram.com/don.gorillo/" TargetMode="External"/><Relationship Id="rId22" Type="http://schemas.openxmlformats.org/officeDocument/2006/relationships/hyperlink" Target="https://www.instagram.com/miltonbumford/" TargetMode="External"/><Relationship Id="rId23" Type="http://schemas.openxmlformats.org/officeDocument/2006/relationships/hyperlink" Target="https://www.instagram.com/sickmanai/" TargetMode="External"/><Relationship Id="rId24" Type="http://schemas.openxmlformats.org/officeDocument/2006/relationships/hyperlink" Target="https://www.instagram.com/ia.vacalha/" TargetMode="External"/><Relationship Id="rId25" Type="http://schemas.openxmlformats.org/officeDocument/2006/relationships/hyperlink" Target="https://www.instagram.com/caramelinho.ia/" TargetMode="External"/><Relationship Id="rId26" Type="http://schemas.openxmlformats.org/officeDocument/2006/relationships/hyperlink" Target="https://www.instagram.com/abu.yalla/" TargetMode="External"/><Relationship Id="rId27" Type="http://schemas.openxmlformats.org/officeDocument/2006/relationships/hyperlink" Target="https://www.instagram.com/abdoul.cheqri/" TargetMode="External"/><Relationship Id="rId28" Type="http://schemas.openxmlformats.org/officeDocument/2006/relationships/hyperlink" Target="https://www.instagram.com/percival_ashcrofttt/" TargetMode="External"/><Relationship Id="rId29" Type="http://schemas.openxmlformats.org/officeDocument/2006/relationships/hyperlink" Target="https://www.instagram.com/edmond_lebon/" TargetMode="External"/><Relationship Id="rId30" Type="http://schemas.openxmlformats.org/officeDocument/2006/relationships/hyperlink" Target="https://www.instagram.com/vuluzamal/" TargetMode="External"/><Relationship Id="rId31" Type="http://schemas.openxmlformats.org/officeDocument/2006/relationships/hyperlink" Target="https://www.instagram.com/imranpoppadumb/" TargetMode="External"/><Relationship Id="rId32" Type="http://schemas.openxmlformats.org/officeDocument/2006/relationships/hyperlink" Target="https://www.instagram.com/tony_ravioliano/" TargetMode="External"/><Relationship Id="rId33" Type="http://schemas.openxmlformats.org/officeDocument/2006/relationships/hyperlink" Target="https://www.instagram.com/don_nuger/" TargetMode="External"/><Relationship Id="rId34" Type="http://schemas.openxmlformats.org/officeDocument/2006/relationships/hyperlink" Target="https://www.instagram.com/mr._stretchy/" TargetMode="External"/><Relationship Id="rId35" Type="http://schemas.openxmlformats.org/officeDocument/2006/relationships/hyperlink" Target="https://www.instagram.com/ms.stretchy/" TargetMode="External"/><Relationship Id="rId36" Type="http://schemas.openxmlformats.org/officeDocument/2006/relationships/hyperlink" Target="https://www.instagram.com/pik.vik1/" TargetMode="External"/><Relationship Id="rId37" Type="http://schemas.openxmlformats.org/officeDocument/2006/relationships/hyperlink" Target="https://www.instagram.com/lilmiquela/" TargetMode="External"/><Relationship Id="rId38" Type="http://schemas.openxmlformats.org/officeDocument/2006/relationships/hyperlink" Target="https://www.instagram.com/grannyspills/" TargetMode="External"/><Relationship Id="rId39" Type="http://schemas.openxmlformats.org/officeDocument/2006/relationships/hyperlink" Target="https://www.instagram.com/auntieauroraa/" TargetMode="External"/><Relationship Id="rId40" Type="http://schemas.openxmlformats.org/officeDocument/2006/relationships/hyperlink" Target="https://www.instagram.com/nobodysausage/" TargetMode="External"/><Relationship Id="rId41" Type="http://schemas.openxmlformats.org/officeDocument/2006/relationships/hyperlink" Target="https://www.instagram.com/fit_aitana/" TargetMode="External"/><Relationship Id="rId42" Type="http://schemas.openxmlformats.org/officeDocument/2006/relationships/hyperlink" Target="https://www.instagram.com/imma.gram/" TargetMode="External"/><Relationship Id="rId43" Type="http://schemas.openxmlformats.org/officeDocument/2006/relationships/hyperlink" Target="https://www.instagram.com/miazelu/" TargetMode="External"/><Relationship Id="rId44" Type="http://schemas.openxmlformats.org/officeDocument/2006/relationships/hyperlink" Target="https://www.instagram.com/kyraonig/" TargetMode="External"/><Relationship Id="rId45" Type="http://schemas.openxmlformats.org/officeDocument/2006/relationships/hyperlink" Target="https://www.instagram.com/shudu.gram/" TargetMode="External"/><Relationship Id="rId46" Type="http://schemas.openxmlformats.org/officeDocument/2006/relationships/hyperlink" Target="https://www.instagram.com/bigfootvlog/" TargetMode="External"/><Relationship Id="rId47" Type="http://schemas.openxmlformats.org/officeDocument/2006/relationships/hyperlink" Target="https://www.instagram.com/tillynorwood/" TargetMode="External"/><Relationship Id="rId48" Type="http://schemas.openxmlformats.org/officeDocument/2006/relationships/hyperlink" Target="https://www.instagram.com/dequavious_von/" TargetMode="External"/><Relationship Id="rId49" Type="http://schemas.openxmlformats.org/officeDocument/2006/relationships/hyperlink" Target="https://www.instagram.com/jadeorlhabit_/" TargetMode="External"/><Relationship Id="rId50" Type="http://schemas.openxmlformats.org/officeDocument/2006/relationships/hyperlink" Target="https://www.instagram.com/evildogi/" TargetMode="External"/><Relationship Id="rId51" Type="http://schemas.openxmlformats.org/officeDocument/2006/relationships/hyperlink" Target="https://www.instagram.com/mr_twirlo/" TargetMode="External"/><Relationship Id="rId52" Type="http://schemas.openxmlformats.org/officeDocument/2006/relationships/hyperlink" Target="https://www.instagram.com/keekoiman/" TargetMode="External"/><Relationship Id="rId53" Type="http://schemas.openxmlformats.org/officeDocument/2006/relationships/hyperlink" Target="https://www.instagram.com/lutherlongford/" TargetMode="External"/><Relationship Id="rId54" Type="http://schemas.openxmlformats.org/officeDocument/2006/relationships/hyperlink" Target="https://www.instagram.com/itsarchiepimm/" TargetMode="External"/><Relationship Id="rId55" Type="http://schemas.openxmlformats.org/officeDocument/2006/relationships/hyperlink" Target="https://www.instagram.com/abdulbigote/" TargetMode="External"/><Relationship Id="rId56" Type="http://schemas.openxmlformats.org/officeDocument/2006/relationships/hyperlink" Target="https://www.instagram.com/nigelbattofficial/" TargetMode="External"/><Relationship Id="rId57" Type="http://schemas.openxmlformats.org/officeDocument/2006/relationships/hyperlink" Target="https://www.instagram.com/jeanphilanthrope.co/" TargetMode="External"/><Relationship Id="rId58" Type="http://schemas.openxmlformats.org/officeDocument/2006/relationships/hyperlink" Target="https://www.instagram.com/brigitte_macaron_/" TargetMode="External"/><Relationship Id="rId59" Type="http://schemas.openxmlformats.org/officeDocument/2006/relationships/hyperlink" Target="https://www.instagram.com/phil_john_jean/" TargetMode="External"/><Relationship Id="rId60" Type="http://schemas.openxmlformats.org/officeDocument/2006/relationships/hyperlink" Target="https://www.instagram.com/noonoouri/" TargetMode="External"/><Relationship Id="rId61" Type="http://schemas.openxmlformats.org/officeDocument/2006/relationships/hyperlink" Target="https://www.instagram.com/rozy.gram/" TargetMode="External"/><Relationship Id="rId62" Type="http://schemas.openxmlformats.org/officeDocument/2006/relationships/hyperlink" Target="https://www.instagram.com/blawko22/" TargetMode="External"/><Relationship Id="rId63" Type="http://schemas.openxmlformats.org/officeDocument/2006/relationships/hyperlink" Target="https://www.instagram.com/bermudaisbae/" TargetMode="External"/><Relationship Id="rId64" Type="http://schemas.openxmlformats.org/officeDocument/2006/relationships/hyperlink" Target="https://www.instagram.com/lafeve7/" TargetMode="External"/><Relationship Id="rId65" Type="http://schemas.openxmlformats.org/officeDocument/2006/relationships/hyperlink" Target="https://www.instagram.com/the_grandshow/" TargetMode="External"/><Relationship Id="rId66" Type="http://schemas.openxmlformats.org/officeDocument/2006/relationships/hyperlink" Target="https://www.instagram.com/bunnychaosai/" TargetMode="External"/><Relationship Id="rId67" Type="http://schemas.openxmlformats.org/officeDocument/2006/relationships/hyperlink" Target="https://www.instagram.com/general.shavin/" TargetMode="External"/><Relationship Id="rId68" Type="http://schemas.openxmlformats.org/officeDocument/2006/relationships/hyperlink" Target="https://www.instagram.com/phantompaws.co/" TargetMode="External"/><Relationship Id="rId69" Type="http://schemas.openxmlformats.org/officeDocument/2006/relationships/hyperlink" Target="https://www.instagram.com/marcel_philan/" TargetMode="External"/><Relationship Id="rId70" Type="http://schemas.openxmlformats.org/officeDocument/2006/relationships/hyperlink" Target="https://www.instagram.com/knox_frost/" TargetMode="External"/><Relationship Id="rId71" Type="http://schemas.openxmlformats.org/officeDocument/2006/relationships/hyperlink" Target="https://www.instagram.com/emily.pellegrini/" TargetMode="External"/><Relationship Id="rId72" Type="http://schemas.openxmlformats.org/officeDocument/2006/relationships/hyperlink" Target="https://www.instagram.com/p/DdZ3IkKiiXx/" TargetMode="External"/><Relationship Id="rId73" Type="http://schemas.openxmlformats.org/officeDocument/2006/relationships/hyperlink" Target="https://www.instagram.com/p/Ddb0QUyqnhG/" TargetMode="External"/><Relationship Id="rId74" Type="http://schemas.openxmlformats.org/officeDocument/2006/relationships/hyperlink" Target="https://www.instagram.com/p/Ddb4D8_qH_E/" TargetMode="External"/><Relationship Id="rId75" Type="http://schemas.openxmlformats.org/officeDocument/2006/relationships/hyperlink" Target="https://www.instagram.com/p/DdeBU0CK14n/" TargetMode="External"/><Relationship Id="rId76" Type="http://schemas.openxmlformats.org/officeDocument/2006/relationships/hyperlink" Target="https://www.instagram.com/p/DeMqmuiiY6J/" TargetMode="External"/><Relationship Id="rId77" Type="http://schemas.openxmlformats.org/officeDocument/2006/relationships/hyperlink" Target="https://www.instagram.com/p/Dd_4AYBiSwh/" TargetMode="External"/><Relationship Id="rId78" Type="http://schemas.openxmlformats.org/officeDocument/2006/relationships/hyperlink" Target="https://www.instagram.com/p/DdzqxONPLaG/" TargetMode="External"/><Relationship Id="rId79" Type="http://schemas.openxmlformats.org/officeDocument/2006/relationships/hyperlink" Target="https://www.instagram.com/p/Dd2joiwTDJv/" TargetMode="External"/><Relationship Id="rId80" Type="http://schemas.openxmlformats.org/officeDocument/2006/relationships/hyperlink" Target="https://www.instagram.com/p/Dd4BE9nMR7M/" TargetMode="External"/><Relationship Id="rId81" Type="http://schemas.openxmlformats.org/officeDocument/2006/relationships/hyperlink" Target="https://www.instagram.com/p/DeMs_zftQSm/" TargetMode="External"/><Relationship Id="rId82" Type="http://schemas.openxmlformats.org/officeDocument/2006/relationships/hyperlink" Target="https://www.instagram.com/p/DeMc0YJBHjU/" TargetMode="External"/><Relationship Id="rId83" Type="http://schemas.openxmlformats.org/officeDocument/2006/relationships/hyperlink" Target="https://www.instagram.com/p/DdwhswgBSFq/" TargetMode="External"/><Relationship Id="rId84" Type="http://schemas.openxmlformats.org/officeDocument/2006/relationships/hyperlink" Target="https://www.instagram.com/p/Ddzz7F1hYlR/" TargetMode="External"/><Relationship Id="rId85" Type="http://schemas.openxmlformats.org/officeDocument/2006/relationships/hyperlink" Target="https://www.instagram.com/p/Dd4wdxZh3fs/" TargetMode="External"/><Relationship Id="rId86" Type="http://schemas.openxmlformats.org/officeDocument/2006/relationships/hyperlink" Target="https://www.instagram.com/p/DeOsvhjhDoP/" TargetMode="External"/><Relationship Id="rId87" Type="http://schemas.openxmlformats.org/officeDocument/2006/relationships/hyperlink" Target="https://www.instagram.com/p/DdvPCA8hQ63/" TargetMode="External"/><Relationship Id="rId88" Type="http://schemas.openxmlformats.org/officeDocument/2006/relationships/hyperlink" Target="https://www.instagram.com/p/Ddhr_xBsuRK/" TargetMode="External"/><Relationship Id="rId89" Type="http://schemas.openxmlformats.org/officeDocument/2006/relationships/hyperlink" Target="https://www.instagram.com/p/DdmQOpyMNfr/" TargetMode="External"/><Relationship Id="rId90" Type="http://schemas.openxmlformats.org/officeDocument/2006/relationships/hyperlink" Target="https://www.instagram.com/p/Ddlj-kosQ2h/" TargetMode="External"/><Relationship Id="rId91" Type="http://schemas.openxmlformats.org/officeDocument/2006/relationships/hyperlink" Target="https://www.instagram.com/p/DeIXFGUMxmL/" TargetMode="External"/><Relationship Id="rId92" Type="http://schemas.openxmlformats.org/officeDocument/2006/relationships/hyperlink" Target="https://www.instagram.com/p/DeIXZFdsCGd/" TargetMode="External"/><Relationship Id="rId93" Type="http://schemas.openxmlformats.org/officeDocument/2006/relationships/hyperlink" Target="https://www.instagram.com/p/DdmINpvsuGs/" TargetMode="External"/><Relationship Id="rId94" Type="http://schemas.openxmlformats.org/officeDocument/2006/relationships/hyperlink" Target="https://www.instagram.com/p/DduMth6NxfU/" TargetMode="External"/><Relationship Id="rId95" Type="http://schemas.openxmlformats.org/officeDocument/2006/relationships/hyperlink" Target="https://www.instagram.com/p/Dduf1zGNri-/" TargetMode="External"/><Relationship Id="rId96" Type="http://schemas.openxmlformats.org/officeDocument/2006/relationships/hyperlink" Target="https://www.instagram.com/p/DdxCLS5NMRz/" TargetMode="External"/><Relationship Id="rId97" Type="http://schemas.openxmlformats.org/officeDocument/2006/relationships/hyperlink" Target="https://www.instagram.com/p/DdyLrNpt3UU/" TargetMode="External"/><Relationship Id="rId98" Type="http://schemas.openxmlformats.org/officeDocument/2006/relationships/hyperlink" Target="https://www.instagram.com/p/DdzcjsYtSxs/" TargetMode="External"/><Relationship Id="rId99" Type="http://schemas.openxmlformats.org/officeDocument/2006/relationships/hyperlink" Target="https://www.instagram.com/p/DeAn0u0Dc9M/" TargetMode="External"/><Relationship Id="rId100" Type="http://schemas.openxmlformats.org/officeDocument/2006/relationships/hyperlink" Target="https://www.instagram.com/p/DdwN0y8t_Xg/" TargetMode="External"/><Relationship Id="rId101" Type="http://schemas.openxmlformats.org/officeDocument/2006/relationships/hyperlink" Target="https://www.instagram.com/p/DeEZ0sEN_Hy/" TargetMode="External"/><Relationship Id="rId102" Type="http://schemas.openxmlformats.org/officeDocument/2006/relationships/hyperlink" Target="https://www.instagram.com/p/Dd6t_drNhuS/" TargetMode="External"/><Relationship Id="rId103" Type="http://schemas.openxmlformats.org/officeDocument/2006/relationships/hyperlink" Target="https://www.instagram.com/p/Dd6B7oYNEhb/" TargetMode="External"/><Relationship Id="rId104" Type="http://schemas.openxmlformats.org/officeDocument/2006/relationships/hyperlink" Target="https://www.instagram.com/p/DdmSujhN2mt/" TargetMode="External"/><Relationship Id="rId105" Type="http://schemas.openxmlformats.org/officeDocument/2006/relationships/hyperlink" Target="https://www.instagram.com/p/DdoPdKptxDF/" TargetMode="External"/><Relationship Id="rId106" Type="http://schemas.openxmlformats.org/officeDocument/2006/relationships/hyperlink" Target="https://www.instagram.com/p/Ddqo1FvtNyH/" TargetMode="External"/><Relationship Id="rId107" Type="http://schemas.openxmlformats.org/officeDocument/2006/relationships/hyperlink" Target="https://www.instagram.com/p/DdtyIBLt2oE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32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2" min="11" style="0" width="12"/>
    <col collapsed="false" customWidth="true" hidden="false" outlineLevel="0" max="13" min="13" style="0" width="50"/>
    <col collapsed="false" customWidth="true" hidden="false" outlineLevel="0" max="14" min="14" style="0" width="34"/>
    <col collapsed="false" customWidth="true" hidden="false" outlineLevel="0" max="15" min="15" style="0" width="44"/>
    <col collapsed="false" customWidth="true" hidden="false" outlineLevel="0" max="17" min="16" style="0" width="50"/>
    <col collapsed="false" customWidth="true" hidden="false" outlineLevel="0" max="18" min="18" style="0" width="36"/>
    <col collapsed="false" customWidth="true" hidden="false" outlineLevel="0" max="19" min="19" style="0" width="50"/>
    <col collapsed="false" customWidth="true" hidden="false" outlineLevel="0" max="21" min="20" style="0" width="60"/>
    <col collapsed="false" customWidth="true" hidden="false" outlineLevel="0" max="22" min="22" style="0" width="50"/>
    <col collapsed="false" customWidth="true" hidden="false" outlineLevel="0" max="23" min="23" style="0" width="44"/>
    <col collapsed="false" customWidth="true" hidden="false" outlineLevel="0" max="24" min="24" style="0" width="60"/>
    <col collapsed="false" customWidth="true" hidden="false" outlineLevel="0" max="25" min="25" style="0" width="36"/>
    <col collapsed="false" customWidth="true" hidden="false" outlineLevel="0" max="26" min="26" style="0" width="14"/>
    <col collapsed="false" customWidth="true" hidden="false" outlineLevel="0" max="27" min="27" style="0" width="36"/>
    <col collapsed="false" customWidth="true" hidden="false" outlineLevel="0" max="28" min="28" style="0" width="34"/>
    <col collapsed="false" customWidth="true" hidden="false" outlineLevel="0" max="29" min="29" style="0" width="30"/>
    <col collapsed="false" customWidth="true" hidden="false" outlineLevel="0" max="30" min="30" style="0" width="60"/>
    <col collapsed="false" customWidth="true" hidden="false" outlineLevel="0" max="31" min="31" style="0" width="50"/>
    <col collapsed="false" customWidth="true" hidden="false" outlineLevel="0" max="32" min="32" style="0" width="44"/>
    <col collapsed="false" customWidth="true" hidden="false" outlineLevel="0" max="35" min="33" style="0" width="9"/>
    <col collapsed="false" customWidth="true" hidden="false" outlineLevel="0" max="36" min="36" style="0" width="70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customFormat="false" ht="259.5" hidden="false" customHeight="true" outlineLevel="0" collapsed="false">
      <c r="A2" s="2" t="s">
        <v>36</v>
      </c>
      <c r="B2" s="2" t="s">
        <v>37</v>
      </c>
      <c r="C2" s="3" t="s">
        <v>38</v>
      </c>
      <c r="D2" s="4" t="n">
        <f aca="false">INDEX('ALL CANDIDATES'!$K$2:$K$63,MATCH($B2,'ALL CANDIDATES'!$C$2:$C$63,0))</f>
        <v>241147</v>
      </c>
      <c r="E2" s="4" t="n">
        <f aca="false">INDEX('ALL CANDIDATES'!$M$2:$M$63,MATCH($B2,'ALL CANDIDATES'!$C$2:$C$63,0))</f>
        <v>12</v>
      </c>
      <c r="F2" s="5" t="n">
        <f aca="false">INDEX('ALL CANDIDATES'!$W$2:$W$63,MATCH($B2,'ALL CANDIDATES'!$C$2:$C$63,0))</f>
        <v>2</v>
      </c>
      <c r="G2" s="6" t="n">
        <f aca="false">INDEX('ALL CANDIDATES'!$T$2:$T$63,MATCH($B2,'ALL CANDIDATES'!$C$2:$C$63,0))</f>
        <v>2</v>
      </c>
      <c r="H2" s="4" t="n">
        <f aca="false">INDEX('ALL CANDIDATES'!$X$2:$X$63,MATCH($B2,'ALL CANDIDATES'!$C$2:$C$63,0))</f>
        <v>297994</v>
      </c>
      <c r="I2" s="4" t="n">
        <f aca="false">INDEX('ALL CANDIDATES'!$Z$2:$Z$63,MATCH($B2,'ALL CANDIDATES'!$C$2:$C$63,0))</f>
        <v>7823</v>
      </c>
      <c r="J2" s="7" t="n">
        <f aca="false">INDEX('ALL CANDIDATES'!$AC$2:$AC$63,MATCH($B2,'ALL CANDIDATES'!$C$2:$C$63,0))</f>
        <v>1.2681766723202</v>
      </c>
      <c r="K2" s="6" t="str">
        <f aca="false">INDEX('ALL CANDIDATES'!$AD$2:$AD$63,MATCH($B2,'ALL CANDIDATES'!$C$2:$C$63,0))</f>
        <v>Very high</v>
      </c>
      <c r="L2" s="8" t="n">
        <f aca="false">INDEX('ALL CANDIDATES'!$R$2:$R$63,MATCH($B2,'ALL CANDIDATES'!$C$2:$C$63,0))</f>
        <v>46302</v>
      </c>
      <c r="M2" s="9" t="s">
        <v>39</v>
      </c>
      <c r="N2" s="9" t="s">
        <v>40</v>
      </c>
      <c r="O2" s="9" t="s">
        <v>41</v>
      </c>
      <c r="P2" s="9" t="s">
        <v>42</v>
      </c>
      <c r="Q2" s="9" t="s">
        <v>43</v>
      </c>
      <c r="R2" s="9" t="s">
        <v>44</v>
      </c>
      <c r="S2" s="9" t="s">
        <v>45</v>
      </c>
      <c r="T2" s="9" t="s">
        <v>46</v>
      </c>
      <c r="U2" s="9" t="s">
        <v>47</v>
      </c>
      <c r="V2" s="9" t="s">
        <v>48</v>
      </c>
      <c r="W2" s="9" t="s">
        <v>49</v>
      </c>
      <c r="X2" s="9" t="s">
        <v>50</v>
      </c>
      <c r="Y2" s="9" t="s">
        <v>51</v>
      </c>
      <c r="Z2" s="9" t="s">
        <v>52</v>
      </c>
      <c r="AA2" s="9" t="s">
        <v>53</v>
      </c>
      <c r="AB2" s="9" t="s">
        <v>54</v>
      </c>
      <c r="AC2" s="9" t="s">
        <v>55</v>
      </c>
      <c r="AD2" s="9" t="s">
        <v>56</v>
      </c>
      <c r="AE2" s="9" t="s">
        <v>57</v>
      </c>
      <c r="AF2" s="9" t="s">
        <v>58</v>
      </c>
      <c r="AG2" s="6" t="n">
        <f aca="false">INDEX('ALL CANDIDATES'!$BJ$2:$BJ$63,MATCH($B2,'ALL CANDIDATES'!$C$2:$C$63,0))</f>
        <v>63.7</v>
      </c>
      <c r="AH2" s="6" t="n">
        <f aca="false">INDEX('ALL CANDIDATES'!$BP$2:$BP$63,MATCH($B2,'ALL CANDIDATES'!$C$2:$C$63,0))</f>
        <v>53.3</v>
      </c>
      <c r="AI2" s="6" t="n">
        <f aca="false">INDEX('ALL CANDIDATES'!$BS$2:$BS$63,MATCH($B2,'ALL CANDIDATES'!$C$2:$C$63,0))</f>
        <v>72.3</v>
      </c>
      <c r="AJ2" s="9" t="s">
        <v>59</v>
      </c>
    </row>
    <row r="3" customFormat="false" ht="259.5" hidden="false" customHeight="true" outlineLevel="0" collapsed="false">
      <c r="A3" s="2" t="s">
        <v>60</v>
      </c>
      <c r="B3" s="2" t="s">
        <v>61</v>
      </c>
      <c r="C3" s="3" t="s">
        <v>62</v>
      </c>
      <c r="D3" s="4" t="n">
        <f aca="false">INDEX('ALL CANDIDATES'!$K$2:$K$63,MATCH($B3,'ALL CANDIDATES'!$C$2:$C$63,0))</f>
        <v>101097</v>
      </c>
      <c r="E3" s="4" t="n">
        <f aca="false">INDEX('ALL CANDIDATES'!$M$2:$M$63,MATCH($B3,'ALL CANDIDATES'!$C$2:$C$63,0))</f>
        <v>15</v>
      </c>
      <c r="F3" s="5" t="n">
        <f aca="false">INDEX('ALL CANDIDATES'!$W$2:$W$63,MATCH($B3,'ALL CANDIDATES'!$C$2:$C$63,0))</f>
        <v>6</v>
      </c>
      <c r="G3" s="6" t="n">
        <f aca="false">INDEX('ALL CANDIDATES'!$T$2:$T$63,MATCH($B3,'ALL CANDIDATES'!$C$2:$C$63,0))</f>
        <v>6</v>
      </c>
      <c r="H3" s="4" t="n">
        <f aca="false">INDEX('ALL CANDIDATES'!$X$2:$X$63,MATCH($B3,'ALL CANDIDATES'!$C$2:$C$63,0))</f>
        <v>8999</v>
      </c>
      <c r="I3" s="4" t="n">
        <f aca="false">INDEX('ALL CANDIDATES'!$Z$2:$Z$63,MATCH($B3,'ALL CANDIDATES'!$C$2:$C$63,0))</f>
        <v>575</v>
      </c>
      <c r="J3" s="7" t="n">
        <f aca="false">INDEX('ALL CANDIDATES'!$AC$2:$AC$63,MATCH($B3,'ALL CANDIDATES'!$C$2:$C$63,0))</f>
        <v>0.094701128619049</v>
      </c>
      <c r="K3" s="6" t="str">
        <f aca="false">INDEX('ALL CANDIDATES'!$AD$2:$AD$63,MATCH($B3,'ALL CANDIDATES'!$C$2:$C$63,0))</f>
        <v>Very high</v>
      </c>
      <c r="L3" s="8" t="n">
        <f aca="false">INDEX('ALL CANDIDATES'!$R$2:$R$63,MATCH($B3,'ALL CANDIDATES'!$C$2:$C$63,0))</f>
        <v>46303</v>
      </c>
      <c r="M3" s="9" t="s">
        <v>63</v>
      </c>
      <c r="N3" s="9" t="s">
        <v>64</v>
      </c>
      <c r="O3" s="9" t="s">
        <v>65</v>
      </c>
      <c r="P3" s="9" t="s">
        <v>66</v>
      </c>
      <c r="Q3" s="9" t="s">
        <v>67</v>
      </c>
      <c r="R3" s="9" t="s">
        <v>68</v>
      </c>
      <c r="S3" s="9" t="s">
        <v>69</v>
      </c>
      <c r="T3" s="9" t="s">
        <v>70</v>
      </c>
      <c r="U3" s="9" t="s">
        <v>71</v>
      </c>
      <c r="V3" s="9" t="s">
        <v>72</v>
      </c>
      <c r="W3" s="9" t="s">
        <v>73</v>
      </c>
      <c r="X3" s="9" t="s">
        <v>74</v>
      </c>
      <c r="Y3" s="9" t="s">
        <v>75</v>
      </c>
      <c r="Z3" s="9" t="s">
        <v>76</v>
      </c>
      <c r="AA3" s="9" t="s">
        <v>77</v>
      </c>
      <c r="AB3" s="9" t="s">
        <v>78</v>
      </c>
      <c r="AC3" s="9" t="s">
        <v>79</v>
      </c>
      <c r="AD3" s="9" t="s">
        <v>80</v>
      </c>
      <c r="AE3" s="9" t="s">
        <v>81</v>
      </c>
      <c r="AF3" s="9" t="s">
        <v>82</v>
      </c>
      <c r="AG3" s="6" t="n">
        <f aca="false">INDEX('ALL CANDIDATES'!$BJ$2:$BJ$63,MATCH($B3,'ALL CANDIDATES'!$C$2:$C$63,0))</f>
        <v>50.9</v>
      </c>
      <c r="AH3" s="6" t="n">
        <f aca="false">INDEX('ALL CANDIDATES'!$BP$2:$BP$63,MATCH($B3,'ALL CANDIDATES'!$C$2:$C$63,0))</f>
        <v>61.7</v>
      </c>
      <c r="AI3" s="6" t="n">
        <f aca="false">INDEX('ALL CANDIDATES'!$BS$2:$BS$63,MATCH($B3,'ALL CANDIDATES'!$C$2:$C$63,0))</f>
        <v>59.8</v>
      </c>
      <c r="AJ3" s="9" t="s">
        <v>83</v>
      </c>
    </row>
    <row r="4" customFormat="false" ht="259.5" hidden="false" customHeight="true" outlineLevel="0" collapsed="false">
      <c r="A4" s="2" t="s">
        <v>84</v>
      </c>
      <c r="B4" s="2" t="s">
        <v>85</v>
      </c>
      <c r="C4" s="3" t="s">
        <v>86</v>
      </c>
      <c r="D4" s="4" t="n">
        <f aca="false">INDEX('ALL CANDIDATES'!$K$2:$K$63,MATCH($B4,'ALL CANDIDATES'!$C$2:$C$63,0))</f>
        <v>102526</v>
      </c>
      <c r="E4" s="4" t="n">
        <f aca="false">INDEX('ALL CANDIDATES'!$M$2:$M$63,MATCH($B4,'ALL CANDIDATES'!$C$2:$C$63,0))</f>
        <v>57</v>
      </c>
      <c r="F4" s="5" t="n">
        <f aca="false">INDEX('ALL CANDIDATES'!$W$2:$W$63,MATCH($B4,'ALL CANDIDATES'!$C$2:$C$63,0))</f>
        <v>25.5</v>
      </c>
      <c r="G4" s="6" t="n">
        <f aca="false">INDEX('ALL CANDIDATES'!$T$2:$T$63,MATCH($B4,'ALL CANDIDATES'!$C$2:$C$63,0))</f>
        <v>26</v>
      </c>
      <c r="H4" s="4" t="n">
        <f aca="false">INDEX('ALL CANDIDATES'!$X$2:$X$63,MATCH($B4,'ALL CANDIDATES'!$C$2:$C$63,0))</f>
        <v>2389</v>
      </c>
      <c r="I4" s="4" t="n">
        <f aca="false">INDEX('ALL CANDIDATES'!$Z$2:$Z$63,MATCH($B4,'ALL CANDIDATES'!$C$2:$C$63,0))</f>
        <v>38</v>
      </c>
      <c r="J4" s="7" t="n">
        <f aca="false">INDEX('ALL CANDIDATES'!$AC$2:$AC$63,MATCH($B4,'ALL CANDIDATES'!$C$2:$C$63,0))</f>
        <v>0.0236720441644071</v>
      </c>
      <c r="K4" s="6" t="str">
        <f aca="false">INDEX('ALL CANDIDATES'!$AD$2:$AD$63,MATCH($B4,'ALL CANDIDATES'!$C$2:$C$63,0))</f>
        <v>High</v>
      </c>
      <c r="L4" s="8" t="n">
        <f aca="false">INDEX('ALL CANDIDATES'!$R$2:$R$63,MATCH($B4,'ALL CANDIDATES'!$C$2:$C$63,0))</f>
        <v>46304</v>
      </c>
      <c r="M4" s="9" t="s">
        <v>87</v>
      </c>
      <c r="N4" s="9" t="s">
        <v>88</v>
      </c>
      <c r="O4" s="9" t="s">
        <v>89</v>
      </c>
      <c r="P4" s="9" t="s">
        <v>90</v>
      </c>
      <c r="Q4" s="9" t="s">
        <v>91</v>
      </c>
      <c r="R4" s="9" t="s">
        <v>92</v>
      </c>
      <c r="S4" s="9" t="s">
        <v>93</v>
      </c>
      <c r="T4" s="9" t="s">
        <v>94</v>
      </c>
      <c r="U4" s="9" t="s">
        <v>95</v>
      </c>
      <c r="V4" s="9" t="s">
        <v>96</v>
      </c>
      <c r="W4" s="9" t="s">
        <v>97</v>
      </c>
      <c r="X4" s="9" t="s">
        <v>98</v>
      </c>
      <c r="Y4" s="9" t="s">
        <v>99</v>
      </c>
      <c r="Z4" s="9" t="s">
        <v>100</v>
      </c>
      <c r="AA4" s="9" t="s">
        <v>101</v>
      </c>
      <c r="AB4" s="9" t="s">
        <v>78</v>
      </c>
      <c r="AC4" s="9" t="s">
        <v>102</v>
      </c>
      <c r="AD4" s="9" t="s">
        <v>103</v>
      </c>
      <c r="AE4" s="9" t="s">
        <v>104</v>
      </c>
      <c r="AF4" s="9" t="s">
        <v>105</v>
      </c>
      <c r="AG4" s="6" t="n">
        <f aca="false">INDEX('ALL CANDIDATES'!$BJ$2:$BJ$63,MATCH($B4,'ALL CANDIDATES'!$C$2:$C$63,0))</f>
        <v>51.5</v>
      </c>
      <c r="AH4" s="6" t="n">
        <f aca="false">INDEX('ALL CANDIDATES'!$BP$2:$BP$63,MATCH($B4,'ALL CANDIDATES'!$C$2:$C$63,0))</f>
        <v>64.4</v>
      </c>
      <c r="AI4" s="6" t="n">
        <f aca="false">INDEX('ALL CANDIDATES'!$BS$2:$BS$63,MATCH($B4,'ALL CANDIDATES'!$C$2:$C$63,0))</f>
        <v>59.3</v>
      </c>
      <c r="AJ4" s="9" t="s">
        <v>106</v>
      </c>
    </row>
    <row r="5" customFormat="false" ht="259.5" hidden="false" customHeight="true" outlineLevel="0" collapsed="false">
      <c r="A5" s="2" t="s">
        <v>107</v>
      </c>
      <c r="B5" s="2" t="s">
        <v>108</v>
      </c>
      <c r="C5" s="3" t="s">
        <v>109</v>
      </c>
      <c r="D5" s="4" t="n">
        <f aca="false">INDEX('ALL CANDIDATES'!$K$2:$K$63,MATCH($B5,'ALL CANDIDATES'!$C$2:$C$63,0))</f>
        <v>131892</v>
      </c>
      <c r="E5" s="4" t="n">
        <f aca="false">INDEX('ALL CANDIDATES'!$M$2:$M$63,MATCH($B5,'ALL CANDIDATES'!$C$2:$C$63,0))</f>
        <v>56</v>
      </c>
      <c r="F5" s="5" t="n">
        <f aca="false">INDEX('ALL CANDIDATES'!$W$2:$W$63,MATCH($B5,'ALL CANDIDATES'!$C$2:$C$63,0))</f>
        <v>12.5</v>
      </c>
      <c r="G5" s="6" t="n">
        <f aca="false">INDEX('ALL CANDIDATES'!$T$2:$T$63,MATCH($B5,'ALL CANDIDATES'!$C$2:$C$63,0))</f>
        <v>5</v>
      </c>
      <c r="H5" s="4" t="n">
        <f aca="false">INDEX('ALL CANDIDATES'!$X$2:$X$63,MATCH($B5,'ALL CANDIDATES'!$C$2:$C$63,0))</f>
        <v>1302</v>
      </c>
      <c r="I5" s="4" t="n">
        <f aca="false">INDEX('ALL CANDIDATES'!$Z$2:$Z$63,MATCH($B5,'ALL CANDIDATES'!$C$2:$C$63,0))</f>
        <v>28</v>
      </c>
      <c r="J5" s="7" t="n">
        <f aca="false">INDEX('ALL CANDIDATES'!$AC$2:$AC$63,MATCH($B5,'ALL CANDIDATES'!$C$2:$C$63,0))</f>
        <v>0.0100840081278622</v>
      </c>
      <c r="K5" s="6" t="str">
        <f aca="false">INDEX('ALL CANDIDATES'!$AD$2:$AD$63,MATCH($B5,'ALL CANDIDATES'!$C$2:$C$63,0))</f>
        <v>Medium</v>
      </c>
      <c r="L5" s="8" t="n">
        <f aca="false">INDEX('ALL CANDIDATES'!$R$2:$R$63,MATCH($B5,'ALL CANDIDATES'!$C$2:$C$63,0))</f>
        <v>46302</v>
      </c>
      <c r="M5" s="9" t="s">
        <v>110</v>
      </c>
      <c r="N5" s="9" t="s">
        <v>111</v>
      </c>
      <c r="O5" s="9" t="s">
        <v>112</v>
      </c>
      <c r="P5" s="9" t="s">
        <v>113</v>
      </c>
      <c r="Q5" s="9" t="s">
        <v>114</v>
      </c>
      <c r="R5" s="9" t="s">
        <v>115</v>
      </c>
      <c r="S5" s="9" t="s">
        <v>116</v>
      </c>
      <c r="T5" s="9" t="s">
        <v>117</v>
      </c>
      <c r="U5" s="9" t="s">
        <v>118</v>
      </c>
      <c r="V5" s="9" t="s">
        <v>119</v>
      </c>
      <c r="W5" s="9" t="s">
        <v>120</v>
      </c>
      <c r="X5" s="9" t="s">
        <v>121</v>
      </c>
      <c r="Y5" s="9" t="s">
        <v>122</v>
      </c>
      <c r="Z5" s="9" t="s">
        <v>101</v>
      </c>
      <c r="AA5" s="9" t="s">
        <v>123</v>
      </c>
      <c r="AB5" s="9" t="s">
        <v>124</v>
      </c>
      <c r="AC5" s="9" t="s">
        <v>125</v>
      </c>
      <c r="AD5" s="9" t="s">
        <v>126</v>
      </c>
      <c r="AE5" s="9" t="s">
        <v>127</v>
      </c>
      <c r="AF5" s="9" t="s">
        <v>128</v>
      </c>
      <c r="AG5" s="6" t="n">
        <f aca="false">INDEX('ALL CANDIDATES'!$BJ$2:$BJ$63,MATCH($B5,'ALL CANDIDATES'!$C$2:$C$63,0))</f>
        <v>54.5</v>
      </c>
      <c r="AH5" s="6" t="n">
        <f aca="false">INDEX('ALL CANDIDATES'!$BP$2:$BP$63,MATCH($B5,'ALL CANDIDATES'!$C$2:$C$63,0))</f>
        <v>54.8</v>
      </c>
      <c r="AI5" s="6" t="n">
        <f aca="false">INDEX('ALL CANDIDATES'!$BS$2:$BS$63,MATCH($B5,'ALL CANDIDATES'!$C$2:$C$63,0))</f>
        <v>68.5</v>
      </c>
      <c r="AJ5" s="9" t="s">
        <v>129</v>
      </c>
    </row>
    <row r="6" customFormat="false" ht="259.5" hidden="false" customHeight="true" outlineLevel="0" collapsed="false">
      <c r="A6" s="2" t="s">
        <v>130</v>
      </c>
      <c r="B6" s="2" t="s">
        <v>131</v>
      </c>
      <c r="C6" s="3" t="s">
        <v>132</v>
      </c>
      <c r="D6" s="4" t="n">
        <f aca="false">INDEX('ALL CANDIDATES'!$K$2:$K$63,MATCH($B6,'ALL CANDIDATES'!$C$2:$C$63,0))</f>
        <v>531003</v>
      </c>
      <c r="E6" s="4" t="n">
        <f aca="false">INDEX('ALL CANDIDATES'!$M$2:$M$63,MATCH($B6,'ALL CANDIDATES'!$C$2:$C$63,0))</f>
        <v>27</v>
      </c>
      <c r="F6" s="5" t="n">
        <f aca="false">INDEX('ALL CANDIDATES'!$W$2:$W$63,MATCH($B6,'ALL CANDIDATES'!$C$2:$C$63,0))</f>
        <v>13.5</v>
      </c>
      <c r="G6" s="6" t="n">
        <f aca="false">INDEX('ALL CANDIDATES'!$T$2:$T$63,MATCH($B6,'ALL CANDIDATES'!$C$2:$C$63,0))</f>
        <v>11</v>
      </c>
      <c r="H6" s="4" t="n">
        <f aca="false">INDEX('ALL CANDIDATES'!$X$2:$X$63,MATCH($B6,'ALL CANDIDATES'!$C$2:$C$63,0))</f>
        <v>22069</v>
      </c>
      <c r="I6" s="4" t="n">
        <f aca="false">INDEX('ALL CANDIDATES'!$Z$2:$Z$63,MATCH($B6,'ALL CANDIDATES'!$C$2:$C$63,0))</f>
        <v>578</v>
      </c>
      <c r="J6" s="7" t="n">
        <f aca="false">INDEX('ALL CANDIDATES'!$AC$2:$AC$63,MATCH($B6,'ALL CANDIDATES'!$C$2:$C$63,0))</f>
        <v>0.0426494765566296</v>
      </c>
      <c r="K6" s="6" t="str">
        <f aca="false">INDEX('ALL CANDIDATES'!$AD$2:$AD$63,MATCH($B6,'ALL CANDIDATES'!$C$2:$C$63,0))</f>
        <v>High</v>
      </c>
      <c r="L6" s="8" t="n">
        <f aca="false">INDEX('ALL CANDIDATES'!$R$2:$R$63,MATCH($B6,'ALL CANDIDATES'!$C$2:$C$63,0))</f>
        <v>46303</v>
      </c>
      <c r="M6" s="9" t="s">
        <v>133</v>
      </c>
      <c r="N6" s="9" t="s">
        <v>134</v>
      </c>
      <c r="O6" s="9" t="s">
        <v>135</v>
      </c>
      <c r="P6" s="9" t="s">
        <v>136</v>
      </c>
      <c r="Q6" s="9" t="s">
        <v>137</v>
      </c>
      <c r="R6" s="9" t="s">
        <v>138</v>
      </c>
      <c r="S6" s="9" t="s">
        <v>139</v>
      </c>
      <c r="T6" s="9" t="s">
        <v>140</v>
      </c>
      <c r="U6" s="9" t="s">
        <v>141</v>
      </c>
      <c r="V6" s="9" t="s">
        <v>142</v>
      </c>
      <c r="W6" s="9" t="s">
        <v>73</v>
      </c>
      <c r="X6" s="9" t="s">
        <v>143</v>
      </c>
      <c r="Y6" s="9" t="s">
        <v>144</v>
      </c>
      <c r="Z6" s="9" t="s">
        <v>145</v>
      </c>
      <c r="AA6" s="9" t="s">
        <v>101</v>
      </c>
      <c r="AB6" s="9" t="s">
        <v>146</v>
      </c>
      <c r="AC6" s="9" t="s">
        <v>147</v>
      </c>
      <c r="AD6" s="9" t="s">
        <v>148</v>
      </c>
      <c r="AE6" s="9" t="s">
        <v>149</v>
      </c>
      <c r="AF6" s="9" t="s">
        <v>150</v>
      </c>
      <c r="AG6" s="6" t="n">
        <f aca="false">INDEX('ALL CANDIDATES'!$BJ$2:$BJ$63,MATCH($B6,'ALL CANDIDATES'!$C$2:$C$63,0))</f>
        <v>63.2</v>
      </c>
      <c r="AH6" s="6" t="n">
        <f aca="false">INDEX('ALL CANDIDATES'!$BP$2:$BP$63,MATCH($B6,'ALL CANDIDATES'!$C$2:$C$63,0))</f>
        <v>80.2</v>
      </c>
      <c r="AI6" s="6" t="n">
        <f aca="false">INDEX('ALL CANDIDATES'!$BS$2:$BS$63,MATCH($B6,'ALL CANDIDATES'!$C$2:$C$63,0))</f>
        <v>71.7</v>
      </c>
      <c r="AJ6" s="9" t="s">
        <v>151</v>
      </c>
    </row>
    <row r="7" customFormat="false" ht="259.5" hidden="false" customHeight="true" outlineLevel="0" collapsed="false">
      <c r="A7" s="2" t="s">
        <v>152</v>
      </c>
      <c r="B7" s="2" t="s">
        <v>153</v>
      </c>
      <c r="C7" s="3" t="s">
        <v>154</v>
      </c>
      <c r="D7" s="4" t="n">
        <f aca="false">INDEX('ALL CANDIDATES'!$K$2:$K$63,MATCH($B7,'ALL CANDIDATES'!$C$2:$C$63,0))</f>
        <v>4299</v>
      </c>
      <c r="E7" s="4" t="n">
        <f aca="false">INDEX('ALL CANDIDATES'!$M$2:$M$63,MATCH($B7,'ALL CANDIDATES'!$C$2:$C$63,0))</f>
        <v>18</v>
      </c>
      <c r="F7" s="5" t="n">
        <f aca="false">INDEX('ALL CANDIDATES'!$W$2:$W$63,MATCH($B7,'ALL CANDIDATES'!$C$2:$C$63,0))</f>
        <v>9</v>
      </c>
      <c r="G7" s="6" t="n">
        <f aca="false">INDEX('ALL CANDIDATES'!$T$2:$T$63,MATCH($B7,'ALL CANDIDATES'!$C$2:$C$63,0))</f>
        <v>7</v>
      </c>
      <c r="H7" s="4" t="n">
        <f aca="false">INDEX('ALL CANDIDATES'!$X$2:$X$63,MATCH($B7,'ALL CANDIDATES'!$C$2:$C$63,0))</f>
        <v>6938</v>
      </c>
      <c r="I7" s="4" t="n">
        <f aca="false">INDEX('ALL CANDIDATES'!$Z$2:$Z$63,MATCH($B7,'ALL CANDIDATES'!$C$2:$C$63,0))</f>
        <v>14</v>
      </c>
      <c r="J7" s="7" t="n">
        <f aca="false">INDEX('ALL CANDIDATES'!$AC$2:$AC$63,MATCH($B7,'ALL CANDIDATES'!$C$2:$C$63,0))</f>
        <v>1.6171202605257</v>
      </c>
      <c r="K7" s="6" t="str">
        <f aca="false">INDEX('ALL CANDIDATES'!$AD$2:$AD$63,MATCH($B7,'ALL CANDIDATES'!$C$2:$C$63,0))</f>
        <v>Very high</v>
      </c>
      <c r="L7" s="8" t="n">
        <f aca="false">INDEX('ALL CANDIDATES'!$R$2:$R$63,MATCH($B7,'ALL CANDIDATES'!$C$2:$C$63,0))</f>
        <v>46303</v>
      </c>
      <c r="M7" s="9" t="s">
        <v>155</v>
      </c>
      <c r="N7" s="9" t="s">
        <v>156</v>
      </c>
      <c r="O7" s="9" t="s">
        <v>157</v>
      </c>
      <c r="P7" s="9" t="s">
        <v>158</v>
      </c>
      <c r="Q7" s="9" t="s">
        <v>159</v>
      </c>
      <c r="R7" s="9" t="s">
        <v>160</v>
      </c>
      <c r="S7" s="9" t="s">
        <v>161</v>
      </c>
      <c r="T7" s="9" t="s">
        <v>162</v>
      </c>
      <c r="U7" s="9" t="s">
        <v>163</v>
      </c>
      <c r="V7" s="9" t="s">
        <v>164</v>
      </c>
      <c r="W7" s="9" t="s">
        <v>165</v>
      </c>
      <c r="X7" s="9" t="s">
        <v>166</v>
      </c>
      <c r="Y7" s="9" t="s">
        <v>167</v>
      </c>
      <c r="Z7" s="9" t="s">
        <v>168</v>
      </c>
      <c r="AA7" s="9" t="s">
        <v>101</v>
      </c>
      <c r="AB7" s="9" t="s">
        <v>169</v>
      </c>
      <c r="AC7" s="9" t="s">
        <v>170</v>
      </c>
      <c r="AD7" s="9" t="s">
        <v>171</v>
      </c>
      <c r="AE7" s="9" t="s">
        <v>172</v>
      </c>
      <c r="AF7" s="9" t="s">
        <v>173</v>
      </c>
      <c r="AG7" s="6" t="n">
        <f aca="false">INDEX('ALL CANDIDATES'!$BJ$2:$BJ$63,MATCH($B7,'ALL CANDIDATES'!$C$2:$C$63,0))</f>
        <v>33.8</v>
      </c>
      <c r="AH7" s="6" t="n">
        <f aca="false">INDEX('ALL CANDIDATES'!$BP$2:$BP$63,MATCH($B7,'ALL CANDIDATES'!$C$2:$C$63,0))</f>
        <v>52</v>
      </c>
      <c r="AI7" s="6" t="n">
        <f aca="false">INDEX('ALL CANDIDATES'!$BS$2:$BS$63,MATCH($B7,'ALL CANDIDATES'!$C$2:$C$63,0))</f>
        <v>51.9</v>
      </c>
      <c r="AJ7" s="9" t="s">
        <v>174</v>
      </c>
    </row>
    <row r="8" customFormat="false" ht="259.5" hidden="false" customHeight="true" outlineLevel="0" collapsed="false">
      <c r="A8" s="2" t="s">
        <v>175</v>
      </c>
      <c r="B8" s="2" t="s">
        <v>176</v>
      </c>
      <c r="C8" s="3" t="s">
        <v>177</v>
      </c>
      <c r="D8" s="4" t="n">
        <f aca="false">INDEX('ALL CANDIDATES'!$K$2:$K$63,MATCH($B8,'ALL CANDIDATES'!$C$2:$C$63,0))</f>
        <v>15092</v>
      </c>
      <c r="E8" s="4" t="n">
        <f aca="false">INDEX('ALL CANDIDATES'!$M$2:$M$63,MATCH($B8,'ALL CANDIDATES'!$C$2:$C$63,0))</f>
        <v>12</v>
      </c>
      <c r="F8" s="5" t="n">
        <f aca="false">INDEX('ALL CANDIDATES'!$W$2:$W$63,MATCH($B8,'ALL CANDIDATES'!$C$2:$C$63,0))</f>
        <v>3.5</v>
      </c>
      <c r="G8" s="6" t="n">
        <f aca="false">INDEX('ALL CANDIDATES'!$T$2:$T$63,MATCH($B8,'ALL CANDIDATES'!$C$2:$C$63,0))</f>
        <v>0</v>
      </c>
      <c r="H8" s="4" t="n">
        <f aca="false">INDEX('ALL CANDIDATES'!$X$2:$X$63,MATCH($B8,'ALL CANDIDATES'!$C$2:$C$63,0))</f>
        <v>13819</v>
      </c>
      <c r="I8" s="4" t="n">
        <f aca="false">INDEX('ALL CANDIDATES'!$Z$2:$Z$63,MATCH($B8,'ALL CANDIDATES'!$C$2:$C$63,0))</f>
        <v>1015</v>
      </c>
      <c r="J8" s="7" t="n">
        <f aca="false">INDEX('ALL CANDIDATES'!$AC$2:$AC$63,MATCH($B8,'ALL CANDIDATES'!$C$2:$C$63,0))</f>
        <v>0.982904850251789</v>
      </c>
      <c r="K8" s="6" t="str">
        <f aca="false">INDEX('ALL CANDIDATES'!$AD$2:$AD$63,MATCH($B8,'ALL CANDIDATES'!$C$2:$C$63,0))</f>
        <v>Very high</v>
      </c>
      <c r="L8" s="8" t="n">
        <f aca="false">INDEX('ALL CANDIDATES'!$R$2:$R$63,MATCH($B8,'ALL CANDIDATES'!$C$2:$C$63,0))</f>
        <v>46297</v>
      </c>
      <c r="M8" s="9" t="s">
        <v>178</v>
      </c>
      <c r="N8" s="9" t="s">
        <v>179</v>
      </c>
      <c r="O8" s="9" t="s">
        <v>180</v>
      </c>
      <c r="P8" s="9" t="s">
        <v>181</v>
      </c>
      <c r="Q8" s="9" t="s">
        <v>182</v>
      </c>
      <c r="R8" s="9" t="s">
        <v>183</v>
      </c>
      <c r="S8" s="9" t="s">
        <v>184</v>
      </c>
      <c r="T8" s="9" t="s">
        <v>185</v>
      </c>
      <c r="U8" s="9" t="s">
        <v>186</v>
      </c>
      <c r="V8" s="9" t="s">
        <v>187</v>
      </c>
      <c r="W8" s="9" t="s">
        <v>188</v>
      </c>
      <c r="X8" s="9" t="s">
        <v>189</v>
      </c>
      <c r="Y8" s="9" t="s">
        <v>190</v>
      </c>
      <c r="Z8" s="9" t="s">
        <v>191</v>
      </c>
      <c r="AA8" s="9" t="s">
        <v>101</v>
      </c>
      <c r="AB8" s="9" t="s">
        <v>78</v>
      </c>
      <c r="AC8" s="9" t="s">
        <v>192</v>
      </c>
      <c r="AD8" s="9" t="s">
        <v>193</v>
      </c>
      <c r="AE8" s="9" t="s">
        <v>194</v>
      </c>
      <c r="AF8" s="9" t="s">
        <v>195</v>
      </c>
      <c r="AG8" s="6" t="n">
        <f aca="false">INDEX('ALL CANDIDATES'!$BJ$2:$BJ$63,MATCH($B8,'ALL CANDIDATES'!$C$2:$C$63,0))</f>
        <v>36.9</v>
      </c>
      <c r="AH8" s="6" t="n">
        <f aca="false">INDEX('ALL CANDIDATES'!$BP$2:$BP$63,MATCH($B8,'ALL CANDIDATES'!$C$2:$C$63,0))</f>
        <v>39</v>
      </c>
      <c r="AI8" s="6" t="n">
        <f aca="false">INDEX('ALL CANDIDATES'!$BS$2:$BS$63,MATCH($B8,'ALL CANDIDATES'!$C$2:$C$63,0))</f>
        <v>45.1</v>
      </c>
      <c r="AJ8" s="9" t="s">
        <v>196</v>
      </c>
    </row>
    <row r="10" customFormat="false" ht="15" hidden="false" customHeight="false" outlineLevel="0" collapsed="false">
      <c r="A10" s="10" t="s">
        <v>197</v>
      </c>
    </row>
  </sheetData>
  <hyperlinks>
    <hyperlink ref="C2" r:id="rId1" display="https://www.instagram.com/jean_philanthrope/"/>
    <hyperlink ref="C3" r:id="rId2" display="https://www.instagram.com/benjamin_stachio/"/>
    <hyperlink ref="C4" r:id="rId3" display="https://www.instagram.com/lord.farquaad.sol/"/>
    <hyperlink ref="C5" r:id="rId4" display="https://www.instagram.com/archibald_brown/"/>
    <hyperlink ref="C6" r:id="rId5" display="https://www.instagram.com/abu.shalab/"/>
    <hyperlink ref="C7" r:id="rId6" display="https://www.instagram.com/brigittemacaron_/"/>
    <hyperlink ref="C8" r:id="rId7" display="https://www.instagram.com/bill_smith_prince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X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36"/>
    <col collapsed="false" customWidth="true" hidden="false" outlineLevel="0" max="8" min="8" style="0" width="34"/>
    <col collapsed="false" customWidth="true" hidden="false" outlineLevel="0" max="9" min="9" style="0" width="26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4" min="12" style="0" width="10"/>
    <col collapsed="false" customWidth="true" hidden="false" outlineLevel="0" max="15" min="15" style="0" width="16"/>
    <col collapsed="false" customWidth="true" hidden="false" outlineLevel="0" max="16" min="16" style="0" width="12"/>
    <col collapsed="false" customWidth="true" hidden="false" outlineLevel="0" max="17" min="17" style="0" width="30"/>
    <col collapsed="false" customWidth="true" hidden="false" outlineLevel="0" max="18" min="18" style="0" width="12"/>
    <col collapsed="false" customWidth="true" hidden="false" outlineLevel="0" max="19" min="19" style="0" width="9"/>
    <col collapsed="false" customWidth="true" hidden="false" outlineLevel="0" max="22" min="20" style="0" width="8"/>
    <col collapsed="false" customWidth="true" hidden="false" outlineLevel="0" max="23" min="23" style="0" width="10"/>
    <col collapsed="false" customWidth="true" hidden="false" outlineLevel="0" max="25" min="24" style="0" width="12"/>
    <col collapsed="false" customWidth="true" hidden="false" outlineLevel="0" max="27" min="26" style="0" width="11"/>
    <col collapsed="false" customWidth="true" hidden="false" outlineLevel="0" max="28" min="28" style="0" width="9"/>
    <col collapsed="false" customWidth="true" hidden="false" outlineLevel="0" max="29" min="29" style="0" width="10"/>
    <col collapsed="false" customWidth="true" hidden="false" outlineLevel="0" max="30" min="30" style="0" width="11"/>
    <col collapsed="false" customWidth="true" hidden="false" outlineLevel="0" max="31" min="31" style="0" width="12"/>
    <col collapsed="false" customWidth="true" hidden="false" outlineLevel="0" max="32" min="32" style="0" width="11"/>
    <col collapsed="false" customWidth="true" hidden="false" outlineLevel="0" max="33" min="33" style="0" width="13"/>
    <col collapsed="false" customWidth="true" hidden="false" outlineLevel="0" max="34" min="34" style="0" width="34"/>
    <col collapsed="false" customWidth="true" hidden="false" outlineLevel="0" max="35" min="35" style="0" width="12"/>
    <col collapsed="false" customWidth="true" hidden="false" outlineLevel="0" max="36" min="36" style="0" width="11"/>
    <col collapsed="false" customWidth="true" hidden="false" outlineLevel="0" max="37" min="37" style="0" width="40"/>
    <col collapsed="false" customWidth="true" hidden="false" outlineLevel="0" max="38" min="38" style="0" width="12"/>
    <col collapsed="false" customWidth="true" hidden="false" outlineLevel="0" max="39" min="39" style="0" width="34"/>
    <col collapsed="false" customWidth="true" hidden="false" outlineLevel="0" max="40" min="40" style="0" width="12"/>
    <col collapsed="false" customWidth="true" hidden="false" outlineLevel="0" max="41" min="41" style="0" width="50"/>
    <col collapsed="false" customWidth="true" hidden="false" outlineLevel="0" max="43" min="42" style="0" width="34"/>
    <col collapsed="false" customWidth="true" hidden="false" outlineLevel="0" max="44" min="44" style="0" width="14"/>
    <col collapsed="false" customWidth="true" hidden="false" outlineLevel="0" max="45" min="45" style="0" width="34"/>
    <col collapsed="false" customWidth="true" hidden="false" outlineLevel="0" max="46" min="46" style="0" width="60"/>
    <col collapsed="false" customWidth="true" hidden="false" outlineLevel="0" max="48" min="47" style="0" width="50"/>
    <col collapsed="false" customWidth="true" hidden="false" outlineLevel="0" max="49" min="49" style="0" width="30"/>
    <col collapsed="false" customWidth="true" hidden="false" outlineLevel="0" max="50" min="50" style="0" width="60"/>
    <col collapsed="false" customWidth="true" hidden="false" outlineLevel="0" max="51" min="51" style="0" width="11"/>
    <col collapsed="false" customWidth="true" hidden="false" outlineLevel="0" max="55" min="52" style="0" width="10"/>
    <col collapsed="false" customWidth="true" hidden="false" outlineLevel="0" max="61" min="56" style="0" width="9"/>
    <col collapsed="false" customWidth="true" hidden="false" outlineLevel="0" max="62" min="62" style="0" width="10"/>
    <col collapsed="false" customWidth="true" hidden="false" outlineLevel="0" max="67" min="63" style="0" width="9"/>
    <col collapsed="false" customWidth="true" hidden="false" outlineLevel="0" max="68" min="68" style="0" width="10"/>
    <col collapsed="false" customWidth="true" hidden="false" outlineLevel="0" max="69" min="69" style="0" width="11"/>
    <col collapsed="false" customWidth="true" hidden="false" outlineLevel="0" max="70" min="70" style="0" width="10"/>
    <col collapsed="false" customWidth="true" hidden="false" outlineLevel="0" max="71" min="71" style="0" width="11"/>
    <col collapsed="false" customWidth="true" hidden="false" outlineLevel="0" max="75" min="72" style="0" width="9"/>
    <col collapsed="false" customWidth="true" hidden="false" outlineLevel="0" max="76" min="76" style="0" width="60"/>
  </cols>
  <sheetData>
    <row r="1" customFormat="false" ht="42" hidden="false" customHeight="true" outlineLevel="0" collapsed="false">
      <c r="A1" s="1" t="s">
        <v>198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217</v>
      </c>
      <c r="U1" s="1" t="s">
        <v>218</v>
      </c>
      <c r="V1" s="1" t="s">
        <v>219</v>
      </c>
      <c r="W1" s="1" t="s">
        <v>220</v>
      </c>
      <c r="X1" s="1" t="s">
        <v>221</v>
      </c>
      <c r="Y1" s="1" t="s">
        <v>222</v>
      </c>
      <c r="Z1" s="1" t="s">
        <v>223</v>
      </c>
      <c r="AA1" s="1" t="s">
        <v>224</v>
      </c>
      <c r="AB1" s="1" t="s">
        <v>225</v>
      </c>
      <c r="AC1" s="1" t="s">
        <v>226</v>
      </c>
      <c r="AD1" s="1" t="s">
        <v>227</v>
      </c>
      <c r="AE1" s="1" t="s">
        <v>228</v>
      </c>
      <c r="AF1" s="1" t="s">
        <v>229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238</v>
      </c>
      <c r="AP1" s="1" t="s">
        <v>239</v>
      </c>
      <c r="AQ1" s="1" t="s">
        <v>240</v>
      </c>
      <c r="AR1" s="1" t="s">
        <v>241</v>
      </c>
      <c r="AS1" s="1" t="s">
        <v>242</v>
      </c>
      <c r="AT1" s="1" t="s">
        <v>243</v>
      </c>
      <c r="AU1" s="1" t="s">
        <v>244</v>
      </c>
      <c r="AV1" s="1" t="s">
        <v>245</v>
      </c>
      <c r="AW1" s="1" t="s">
        <v>246</v>
      </c>
      <c r="AX1" s="1" t="s">
        <v>247</v>
      </c>
      <c r="AY1" s="1" t="s">
        <v>248</v>
      </c>
      <c r="AZ1" s="1" t="s">
        <v>249</v>
      </c>
      <c r="BA1" s="1" t="s">
        <v>250</v>
      </c>
      <c r="BB1" s="1" t="s">
        <v>251</v>
      </c>
      <c r="BC1" s="1" t="s">
        <v>252</v>
      </c>
      <c r="BD1" s="1" t="s">
        <v>253</v>
      </c>
      <c r="BE1" s="1" t="s">
        <v>254</v>
      </c>
      <c r="BF1" s="1" t="s">
        <v>255</v>
      </c>
      <c r="BG1" s="1" t="s">
        <v>256</v>
      </c>
      <c r="BH1" s="1" t="s">
        <v>257</v>
      </c>
      <c r="BI1" s="1" t="s">
        <v>258</v>
      </c>
      <c r="BJ1" s="1" t="s">
        <v>259</v>
      </c>
      <c r="BK1" s="1" t="s">
        <v>260</v>
      </c>
      <c r="BL1" s="1" t="s">
        <v>261</v>
      </c>
      <c r="BM1" s="1" t="s">
        <v>262</v>
      </c>
      <c r="BN1" s="1" t="s">
        <v>263</v>
      </c>
      <c r="BO1" s="1" t="s">
        <v>264</v>
      </c>
      <c r="BP1" s="1" t="s">
        <v>265</v>
      </c>
      <c r="BQ1" s="1" t="s">
        <v>266</v>
      </c>
      <c r="BR1" s="1" t="s">
        <v>267</v>
      </c>
      <c r="BS1" s="1" t="s">
        <v>268</v>
      </c>
      <c r="BT1" s="1" t="s">
        <v>269</v>
      </c>
      <c r="BU1" s="1" t="s">
        <v>270</v>
      </c>
      <c r="BV1" s="1" t="s">
        <v>271</v>
      </c>
      <c r="BW1" s="1" t="s">
        <v>272</v>
      </c>
      <c r="BX1" s="1" t="s">
        <v>273</v>
      </c>
    </row>
    <row r="2" customFormat="false" ht="15" hidden="false" customHeight="false" outlineLevel="0" collapsed="false">
      <c r="A2" s="2" t="n">
        <v>1</v>
      </c>
      <c r="B2" s="2" t="s">
        <v>36</v>
      </c>
      <c r="C2" s="2" t="s">
        <v>37</v>
      </c>
      <c r="D2" s="3" t="s">
        <v>38</v>
      </c>
      <c r="E2" s="2" t="s">
        <v>274</v>
      </c>
      <c r="F2" s="2" t="s">
        <v>275</v>
      </c>
      <c r="G2" s="2"/>
      <c r="H2" s="2" t="s">
        <v>276</v>
      </c>
      <c r="I2" s="2" t="s">
        <v>277</v>
      </c>
      <c r="J2" s="2" t="s">
        <v>278</v>
      </c>
      <c r="K2" s="11" t="n">
        <v>241147</v>
      </c>
      <c r="L2" s="11" t="n">
        <v>1</v>
      </c>
      <c r="M2" s="11" t="n">
        <v>12</v>
      </c>
      <c r="N2" s="2" t="n">
        <v>12</v>
      </c>
      <c r="O2" s="2" t="s">
        <v>279</v>
      </c>
      <c r="P2" s="12" t="n">
        <v>46282</v>
      </c>
      <c r="Q2" s="2" t="s">
        <v>280</v>
      </c>
      <c r="R2" s="12" t="n">
        <v>46302</v>
      </c>
      <c r="S2" s="2" t="n">
        <f aca="false">IF(R2="","",'SCORING METHOD'!$C$5-R2)</f>
        <v>2</v>
      </c>
      <c r="T2" s="2" t="n">
        <v>2</v>
      </c>
      <c r="U2" s="2" t="n">
        <v>4</v>
      </c>
      <c r="V2" s="2" t="n">
        <v>12</v>
      </c>
      <c r="W2" s="2" t="n">
        <f aca="false">IF(U2="","",U2/2)</f>
        <v>2</v>
      </c>
      <c r="X2" s="11" t="n">
        <v>297994</v>
      </c>
      <c r="Y2" s="11" t="n">
        <v>110763</v>
      </c>
      <c r="Z2" s="11" t="n">
        <v>7823</v>
      </c>
      <c r="AA2" s="11" t="n">
        <v>2980</v>
      </c>
      <c r="AB2" s="2" t="n">
        <v>0</v>
      </c>
      <c r="AC2" s="13" t="n">
        <f aca="false">IF(OR(X2="",K2="",K2=0),"",(X2+N(Z2))/K2)</f>
        <v>1.2681766723202</v>
      </c>
      <c r="AD2" s="2" t="str">
        <f aca="false">IF(AC2="","UNKNOWN",IF(AC2&gt;=0.05,"Very high",IF(AC2&gt;=0.02,"High",IF(AC2&gt;=0.005,"Medium","Low"))))</f>
        <v>Very high</v>
      </c>
      <c r="AE2" s="11" t="n">
        <v>11876</v>
      </c>
      <c r="AF2" s="11" t="n">
        <v>613</v>
      </c>
      <c r="AG2" s="11" t="n">
        <v>1708185</v>
      </c>
      <c r="AH2" s="3" t="s">
        <v>281</v>
      </c>
      <c r="AI2" s="12" t="n">
        <v>46284</v>
      </c>
      <c r="AJ2" s="11" t="n">
        <v>53119</v>
      </c>
      <c r="AK2" s="2" t="s">
        <v>282</v>
      </c>
      <c r="AL2" s="11" t="n">
        <v>23808</v>
      </c>
      <c r="AM2" s="3" t="s">
        <v>283</v>
      </c>
      <c r="AN2" s="12" t="n">
        <v>46292</v>
      </c>
      <c r="AO2" s="2" t="s">
        <v>284</v>
      </c>
      <c r="AP2" s="2" t="s">
        <v>54</v>
      </c>
      <c r="AQ2" s="2" t="s">
        <v>285</v>
      </c>
      <c r="AR2" s="2" t="s">
        <v>52</v>
      </c>
      <c r="AS2" s="2" t="s">
        <v>53</v>
      </c>
      <c r="AT2" s="2" t="s">
        <v>286</v>
      </c>
      <c r="AU2" s="2" t="s">
        <v>42</v>
      </c>
      <c r="AV2" s="2" t="s">
        <v>43</v>
      </c>
      <c r="AW2" s="2" t="s">
        <v>44</v>
      </c>
      <c r="AX2" s="2" t="s">
        <v>287</v>
      </c>
      <c r="AY2" s="14" t="n">
        <v>5</v>
      </c>
      <c r="AZ2" s="14" t="n">
        <v>5</v>
      </c>
      <c r="BA2" s="14" t="n">
        <v>5</v>
      </c>
      <c r="BB2" s="14" t="n">
        <v>4</v>
      </c>
      <c r="BC2" s="14" t="n">
        <v>5</v>
      </c>
      <c r="BD2" s="15" t="n">
        <f aca="false">IF(K2="",0,MAX(0,MIN(1,(LOG10(MAX(1,K2))-3)/4)))</f>
        <v>0.595570465857913</v>
      </c>
      <c r="BE2" s="15" t="n">
        <f aca="false">IF(X2="",0,MAX(0,MIN(1,(LOG10(MAX(1,X2))-2)/4)))</f>
        <v>0.868551879951007</v>
      </c>
      <c r="BF2" s="15" t="n">
        <f aca="false">IF(AG2="",0,MAX(0,MIN(1,(LOG10(MAX(1,AG2))-3)/4)))</f>
        <v>0.808133725974701</v>
      </c>
      <c r="BG2" s="15" t="n">
        <f aca="false">IF(V2="",0,MIN(1,V2/20))</f>
        <v>0.6</v>
      </c>
      <c r="BH2" s="15" t="n">
        <f aca="false">MAX(IF(P2="",0,MIN(1,('SCORING METHOD'!$C$5-P2)/730)),IF(M2="",0,MAX(0,MIN(1,(LOG10(MAX(1,M2))-1)/2.5))))</f>
        <v>0.03167249841905</v>
      </c>
      <c r="BI2" s="15" t="n">
        <f aca="false">IF(J2="Y",0.4,0)+0.6*N(AY2)/5</f>
        <v>0.6</v>
      </c>
      <c r="BJ2" s="16" t="n">
        <f aca="false">ROUND(BD2*'SCORING METHOD'!$C$6+BE2*'SCORING METHOD'!$C$7+BF2*'SCORING METHOD'!$C$8+BG2*'SCORING METHOD'!$C$9+BH2*'SCORING METHOD'!$C$10+BI2*'SCORING METHOD'!$C$11,1)</f>
        <v>63.7</v>
      </c>
      <c r="BK2" s="15" t="n">
        <f aca="false">IF(AE2="",0,MAX(0,MIN(1,(LOG10(MAX(1,IF(X2="",AE2,MIN(AE2,X2))))-2)/4)))</f>
        <v>0.518667547231002</v>
      </c>
      <c r="BL2" s="15" t="n">
        <f aca="false">IF(AL2="",0,MAX(0,MIN(1,(LOG10(MAX(1,AL2))-3)/4)))</f>
        <v>0.344180728466446</v>
      </c>
      <c r="BM2" s="15" t="n">
        <f aca="false">IF(U2="",0,MIN(1,U2/14))</f>
        <v>0.285714285714286</v>
      </c>
      <c r="BN2" s="15" t="n">
        <f aca="false">IF(OR(P2="",K2="",N2="",M2="",M2=0),0,IF(AND('SCORING METHOD'!$C$5-P2&lt;=60,N2/M2&gt;=0.5),MAX(0,MIN(1,(LOG10(MAX(1,K2/MAX(1,'SCORING METHOD'!$C$5-P2)))-2)/2.5)),0))</f>
        <v>0.815943673043778</v>
      </c>
      <c r="BO2" s="15" t="n">
        <f aca="false">IF(S2="",0,MAX(0,MIN(1,1-(S2-3)/27)))</f>
        <v>1</v>
      </c>
      <c r="BP2" s="16" t="n">
        <f aca="false">ROUND(BK2*'SCORING METHOD'!$C$12+BL2*'SCORING METHOD'!$C$13+BM2*'SCORING METHOD'!$C$14+BN2*'SCORING METHOD'!$C$15+BO2*'SCORING METHOD'!$C$16,1)</f>
        <v>53.3</v>
      </c>
      <c r="BQ2" s="16" t="n">
        <f aca="false">ROUND((N(AZ2)+N(BA2)+N(BB2)+N(BC2))/20*100,1)</f>
        <v>95</v>
      </c>
      <c r="BR2" s="17" t="n">
        <f aca="false">IFERROR(INDEX('DATA SUFFICIENCY'!$J$2:$J$63,MATCH(C2,'DATA SUFFICIENCY'!$B$2:$B$63,0)),0)</f>
        <v>1</v>
      </c>
      <c r="BS2" s="16" t="n">
        <f aca="false">ROUND('SCORING METHOD'!$C$17*BJ2+'SCORING METHOD'!$C$18*BP2+'SCORING METHOD'!$C$19*BQ2+'SCORING METHOD'!$C$20*BR2*100,1)</f>
        <v>72.3</v>
      </c>
      <c r="BT2" s="15" t="n">
        <f aca="false">IF(F2="INCLUDED",BJ2+(1000-ROW())/100000,-1)</f>
        <v>63.70998</v>
      </c>
      <c r="BU2" s="15" t="n">
        <f aca="false">IF(F2="INCLUDED",BP2+(1000-ROW())/100000,-1)</f>
        <v>53.30998</v>
      </c>
      <c r="BV2" s="15" t="n">
        <f aca="false">IF(F2="INCLUDED",BQ2+(1000-ROW())/100000,-1)</f>
        <v>95.00998</v>
      </c>
      <c r="BW2" s="15" t="n">
        <f aca="false">IF(F2="INCLUDED",BS2+(1000-ROW())/100000,-1)</f>
        <v>72.30998</v>
      </c>
      <c r="BX2" s="2" t="s">
        <v>288</v>
      </c>
    </row>
    <row r="3" customFormat="false" ht="15" hidden="false" customHeight="false" outlineLevel="0" collapsed="false">
      <c r="A3" s="2" t="n">
        <v>2</v>
      </c>
      <c r="B3" s="2" t="s">
        <v>60</v>
      </c>
      <c r="C3" s="2" t="s">
        <v>61</v>
      </c>
      <c r="D3" s="3" t="s">
        <v>62</v>
      </c>
      <c r="E3" s="2" t="s">
        <v>274</v>
      </c>
      <c r="F3" s="2" t="s">
        <v>275</v>
      </c>
      <c r="G3" s="2"/>
      <c r="H3" s="2" t="s">
        <v>289</v>
      </c>
      <c r="I3" s="2" t="s">
        <v>277</v>
      </c>
      <c r="J3" s="2" t="s">
        <v>278</v>
      </c>
      <c r="K3" s="11" t="n">
        <v>101097</v>
      </c>
      <c r="L3" s="11" t="n">
        <v>0</v>
      </c>
      <c r="M3" s="11" t="n">
        <v>15</v>
      </c>
      <c r="N3" s="2" t="n">
        <v>15</v>
      </c>
      <c r="O3" s="2" t="s">
        <v>290</v>
      </c>
      <c r="P3" s="12" t="n">
        <v>46292</v>
      </c>
      <c r="Q3" s="2" t="s">
        <v>280</v>
      </c>
      <c r="R3" s="12" t="n">
        <v>46303</v>
      </c>
      <c r="S3" s="2" t="n">
        <f aca="false">IF(R3="","",'SCORING METHOD'!$C$5-R3)</f>
        <v>1</v>
      </c>
      <c r="T3" s="2" t="n">
        <v>6</v>
      </c>
      <c r="U3" s="2" t="n">
        <v>12</v>
      </c>
      <c r="V3" s="2" t="n">
        <v>12</v>
      </c>
      <c r="W3" s="2" t="n">
        <f aca="false">IF(U3="","",U3/2)</f>
        <v>6</v>
      </c>
      <c r="X3" s="11" t="n">
        <v>8999</v>
      </c>
      <c r="Y3" s="11" t="n">
        <v>4168</v>
      </c>
      <c r="Z3" s="11" t="n">
        <v>575</v>
      </c>
      <c r="AA3" s="11" t="n">
        <v>166</v>
      </c>
      <c r="AB3" s="2" t="n">
        <v>0</v>
      </c>
      <c r="AC3" s="13" t="n">
        <f aca="false">IF(OR(X3="",K3="",K3=0),"",(X3+N(Z3))/K3)</f>
        <v>0.094701128619049</v>
      </c>
      <c r="AD3" s="2" t="str">
        <f aca="false">IF(AC3="","UNKNOWN",IF(AC3&gt;=0.05,"Very high",IF(AC3&gt;=0.02,"High",IF(AC3&gt;=0.005,"Medium","Low"))))</f>
        <v>Very high</v>
      </c>
      <c r="AE3" s="11" t="n">
        <v>8999</v>
      </c>
      <c r="AF3" s="11" t="n">
        <v>575</v>
      </c>
      <c r="AG3" s="11" t="n">
        <v>846425</v>
      </c>
      <c r="AH3" s="3" t="s">
        <v>291</v>
      </c>
      <c r="AI3" s="12" t="n">
        <v>46294</v>
      </c>
      <c r="AJ3" s="11" t="n">
        <v>76277</v>
      </c>
      <c r="AK3" s="2" t="s">
        <v>292</v>
      </c>
      <c r="AL3" s="11" t="n">
        <v>43249</v>
      </c>
      <c r="AM3" s="3" t="s">
        <v>293</v>
      </c>
      <c r="AN3" s="12" t="n">
        <v>46294</v>
      </c>
      <c r="AO3" s="2" t="s">
        <v>294</v>
      </c>
      <c r="AP3" s="2" t="s">
        <v>78</v>
      </c>
      <c r="AQ3" s="2" t="s">
        <v>295</v>
      </c>
      <c r="AR3" s="2" t="s">
        <v>76</v>
      </c>
      <c r="AS3" s="2" t="s">
        <v>77</v>
      </c>
      <c r="AT3" s="2" t="s">
        <v>296</v>
      </c>
      <c r="AU3" s="2" t="s">
        <v>66</v>
      </c>
      <c r="AV3" s="2" t="s">
        <v>67</v>
      </c>
      <c r="AW3" s="2" t="s">
        <v>68</v>
      </c>
      <c r="AX3" s="2" t="s">
        <v>297</v>
      </c>
      <c r="AY3" s="14" t="n">
        <v>4</v>
      </c>
      <c r="AZ3" s="14" t="n">
        <v>5</v>
      </c>
      <c r="BA3" s="14" t="n">
        <v>4</v>
      </c>
      <c r="BB3" s="14" t="n">
        <v>3</v>
      </c>
      <c r="BC3" s="14" t="n">
        <v>1</v>
      </c>
      <c r="BD3" s="15" t="n">
        <f aca="false">IF(K3="",0,MAX(0,MIN(1,(LOG10(MAX(1,K3))-3)/4)))</f>
        <v>0.501184567080795</v>
      </c>
      <c r="BE3" s="15" t="n">
        <f aca="false">IF(X3="",0,MAX(0,MIN(1,(LOG10(MAX(1,X3))-2)/4)))</f>
        <v>0.488548562953966</v>
      </c>
      <c r="BF3" s="15" t="n">
        <f aca="false">IF(AG3="",0,MAX(0,MIN(1,(LOG10(MAX(1,AG3))-3)/4)))</f>
        <v>0.731897120549463</v>
      </c>
      <c r="BG3" s="15" t="n">
        <f aca="false">IF(V3="",0,MIN(1,V3/20))</f>
        <v>0.6</v>
      </c>
      <c r="BH3" s="15" t="n">
        <f aca="false">MAX(IF(P3="",0,MIN(1,('SCORING METHOD'!$C$5-P3)/730)),IF(M3="",0,MAX(0,MIN(1,(LOG10(MAX(1,M3))-1)/2.5))))</f>
        <v>0.0704365036222725</v>
      </c>
      <c r="BI3" s="15" t="n">
        <f aca="false">IF(J3="Y",0.4,0)+0.6*N(AY3)/5</f>
        <v>0.48</v>
      </c>
      <c r="BJ3" s="16" t="n">
        <f aca="false">ROUND(BD3*'SCORING METHOD'!$C$6+BE3*'SCORING METHOD'!$C$7+BF3*'SCORING METHOD'!$C$8+BG3*'SCORING METHOD'!$C$9+BH3*'SCORING METHOD'!$C$10+BI3*'SCORING METHOD'!$C$11,1)</f>
        <v>50.9</v>
      </c>
      <c r="BK3" s="15" t="n">
        <f aca="false">IF(AE3="",0,MAX(0,MIN(1,(LOG10(MAX(1,IF(X3="",AE3,MIN(AE3,X3))))-2)/4)))</f>
        <v>0.488548562953966</v>
      </c>
      <c r="BL3" s="15" t="n">
        <f aca="false">IF(AL3="",0,MAX(0,MIN(1,(LOG10(MAX(1,AL3))-3)/4)))</f>
        <v>0.408994017548458</v>
      </c>
      <c r="BM3" s="15" t="n">
        <f aca="false">IF(U3="",0,MIN(1,U3/14))</f>
        <v>0.857142857142857</v>
      </c>
      <c r="BN3" s="15" t="n">
        <f aca="false">IF(OR(P3="",K3="",N3="",M3="",M3=0),0,IF(AND('SCORING METHOD'!$C$5-P3&lt;=60,N3/M3&gt;=0.5),MAX(0,MIN(1,(LOG10(MAX(1,K3/MAX(1,'SCORING METHOD'!$C$5-P3)))-2)/2.5)),0))</f>
        <v>0.770222808910222</v>
      </c>
      <c r="BO3" s="15" t="n">
        <f aca="false">IF(S3="",0,MAX(0,MIN(1,1-(S3-3)/27)))</f>
        <v>1</v>
      </c>
      <c r="BP3" s="16" t="n">
        <f aca="false">ROUND(BK3*'SCORING METHOD'!$C$12+BL3*'SCORING METHOD'!$C$13+BM3*'SCORING METHOD'!$C$14+BN3*'SCORING METHOD'!$C$15+BO3*'SCORING METHOD'!$C$16,1)</f>
        <v>61.7</v>
      </c>
      <c r="BQ3" s="16" t="n">
        <f aca="false">ROUND((N(AZ3)+N(BA3)+N(BB3)+N(BC3))/20*100,1)</f>
        <v>65</v>
      </c>
      <c r="BR3" s="17" t="n">
        <f aca="false">IFERROR(INDEX('DATA SUFFICIENCY'!$J$2:$J$63,MATCH(C3,'DATA SUFFICIENCY'!$B$2:$B$63,0)),0)</f>
        <v>0.7</v>
      </c>
      <c r="BS3" s="16" t="n">
        <f aca="false">ROUND('SCORING METHOD'!$C$17*BJ3+'SCORING METHOD'!$C$18*BP3+'SCORING METHOD'!$C$19*BQ3+'SCORING METHOD'!$C$20*BR3*100,1)</f>
        <v>59.8</v>
      </c>
      <c r="BT3" s="15" t="n">
        <f aca="false">IF(F3="INCLUDED",BJ3+(1000-ROW())/100000,-1)</f>
        <v>50.90997</v>
      </c>
      <c r="BU3" s="15" t="n">
        <f aca="false">IF(F3="INCLUDED",BP3+(1000-ROW())/100000,-1)</f>
        <v>61.70997</v>
      </c>
      <c r="BV3" s="15" t="n">
        <f aca="false">IF(F3="INCLUDED",BQ3+(1000-ROW())/100000,-1)</f>
        <v>65.00997</v>
      </c>
      <c r="BW3" s="15" t="n">
        <f aca="false">IF(F3="INCLUDED",BS3+(1000-ROW())/100000,-1)</f>
        <v>59.80997</v>
      </c>
      <c r="BX3" s="2" t="s">
        <v>298</v>
      </c>
    </row>
    <row r="4" customFormat="false" ht="15" hidden="false" customHeight="false" outlineLevel="0" collapsed="false">
      <c r="A4" s="2" t="n">
        <v>3</v>
      </c>
      <c r="B4" s="2" t="s">
        <v>84</v>
      </c>
      <c r="C4" s="2" t="s">
        <v>85</v>
      </c>
      <c r="D4" s="3" t="s">
        <v>86</v>
      </c>
      <c r="E4" s="2" t="s">
        <v>274</v>
      </c>
      <c r="F4" s="2" t="s">
        <v>275</v>
      </c>
      <c r="G4" s="2" t="s">
        <v>299</v>
      </c>
      <c r="H4" s="2" t="s">
        <v>300</v>
      </c>
      <c r="I4" s="2" t="s">
        <v>277</v>
      </c>
      <c r="J4" s="2" t="s">
        <v>278</v>
      </c>
      <c r="K4" s="11" t="n">
        <v>102526</v>
      </c>
      <c r="L4" s="11" t="n">
        <v>19</v>
      </c>
      <c r="M4" s="11" t="n">
        <v>57</v>
      </c>
      <c r="N4" s="2" t="n">
        <v>57</v>
      </c>
      <c r="O4" s="2" t="s">
        <v>301</v>
      </c>
      <c r="P4" s="12" t="n">
        <v>46290</v>
      </c>
      <c r="Q4" s="2" t="s">
        <v>280</v>
      </c>
      <c r="R4" s="12" t="n">
        <v>46304</v>
      </c>
      <c r="S4" s="2" t="n">
        <f aca="false">IF(R4="","",'SCORING METHOD'!$C$5-R4)</f>
        <v>0</v>
      </c>
      <c r="T4" s="2" t="n">
        <v>26</v>
      </c>
      <c r="U4" s="2" t="n">
        <v>51</v>
      </c>
      <c r="V4" s="2" t="n">
        <v>56</v>
      </c>
      <c r="W4" s="2" t="n">
        <f aca="false">IF(U4="","",U4/2)</f>
        <v>25.5</v>
      </c>
      <c r="X4" s="11" t="n">
        <v>2389</v>
      </c>
      <c r="Y4" s="11" t="n">
        <v>1286</v>
      </c>
      <c r="Z4" s="11" t="n">
        <v>38</v>
      </c>
      <c r="AA4" s="11" t="n">
        <v>34</v>
      </c>
      <c r="AB4" s="2" t="n">
        <v>0</v>
      </c>
      <c r="AC4" s="13" t="n">
        <f aca="false">IF(OR(X4="",K4="",K4=0),"",(X4+N(Z4))/K4)</f>
        <v>0.0236720441644071</v>
      </c>
      <c r="AD4" s="2" t="str">
        <f aca="false">IF(AC4="","UNKNOWN",IF(AC4&gt;=0.05,"Very high",IF(AC4&gt;=0.02,"High",IF(AC4&gt;=0.005,"Medium","Low"))))</f>
        <v>High</v>
      </c>
      <c r="AE4" s="11" t="n">
        <v>25012</v>
      </c>
      <c r="AF4" s="11" t="n">
        <v>209</v>
      </c>
      <c r="AG4" s="11" t="n">
        <v>379725</v>
      </c>
      <c r="AH4" s="3" t="s">
        <v>302</v>
      </c>
      <c r="AI4" s="12" t="n">
        <v>46291</v>
      </c>
      <c r="AJ4" s="11" t="n">
        <v>2844</v>
      </c>
      <c r="AK4" s="2" t="s">
        <v>303</v>
      </c>
      <c r="AL4" s="11" t="n">
        <v>379725</v>
      </c>
      <c r="AM4" s="3" t="s">
        <v>302</v>
      </c>
      <c r="AN4" s="12" t="n">
        <v>46291</v>
      </c>
      <c r="AO4" s="2" t="s">
        <v>304</v>
      </c>
      <c r="AP4" s="2" t="s">
        <v>78</v>
      </c>
      <c r="AQ4" s="2" t="s">
        <v>305</v>
      </c>
      <c r="AR4" s="2" t="s">
        <v>100</v>
      </c>
      <c r="AS4" s="2" t="s">
        <v>101</v>
      </c>
      <c r="AT4" s="2" t="s">
        <v>306</v>
      </c>
      <c r="AU4" s="2" t="s">
        <v>90</v>
      </c>
      <c r="AV4" s="2" t="s">
        <v>91</v>
      </c>
      <c r="AW4" s="2" t="s">
        <v>92</v>
      </c>
      <c r="AX4" s="2" t="s">
        <v>307</v>
      </c>
      <c r="AY4" s="14" t="n">
        <v>3</v>
      </c>
      <c r="AZ4" s="14" t="n">
        <v>4</v>
      </c>
      <c r="BA4" s="14" t="n">
        <v>3</v>
      </c>
      <c r="BB4" s="14" t="n">
        <v>2</v>
      </c>
      <c r="BC4" s="14" t="n">
        <v>1</v>
      </c>
      <c r="BD4" s="15" t="n">
        <f aca="false">IF(K4="",0,MAX(0,MIN(1,(LOG10(MAX(1,K4))-3)/4)))</f>
        <v>0.502708503481258</v>
      </c>
      <c r="BE4" s="15" t="n">
        <f aca="false">IF(X4="",0,MAX(0,MIN(1,(LOG10(MAX(1,X4))-2)/4)))</f>
        <v>0.34455403743747</v>
      </c>
      <c r="BF4" s="15" t="n">
        <f aca="false">IF(AG4="",0,MAX(0,MIN(1,(LOG10(MAX(1,AG4))-3)/4)))</f>
        <v>0.644867297694635</v>
      </c>
      <c r="BG4" s="15" t="n">
        <f aca="false">IF(V4="",0,MIN(1,V4/20))</f>
        <v>1</v>
      </c>
      <c r="BH4" s="15" t="n">
        <f aca="false">MAX(IF(P4="",0,MIN(1,('SCORING METHOD'!$C$5-P4)/730)),IF(M4="",0,MAX(0,MIN(1,(LOG10(MAX(1,M4))-1)/2.5))))</f>
        <v>0.302349942268997</v>
      </c>
      <c r="BI4" s="15" t="n">
        <f aca="false">IF(J4="Y",0.4,0)+0.6*N(AY4)/5</f>
        <v>0.36</v>
      </c>
      <c r="BJ4" s="16" t="n">
        <f aca="false">ROUND(BD4*'SCORING METHOD'!$C$6+BE4*'SCORING METHOD'!$C$7+BF4*'SCORING METHOD'!$C$8+BG4*'SCORING METHOD'!$C$9+BH4*'SCORING METHOD'!$C$10+BI4*'SCORING METHOD'!$C$11,1)</f>
        <v>51.5</v>
      </c>
      <c r="BK4" s="15" t="n">
        <f aca="false">IF(AE4="",0,MAX(0,MIN(1,(LOG10(MAX(1,IF(X4="",AE4,MIN(AE4,X4))))-2)/4)))</f>
        <v>0.34455403743747</v>
      </c>
      <c r="BL4" s="15" t="n">
        <f aca="false">IF(AL4="",0,MAX(0,MIN(1,(LOG10(MAX(1,AL4))-3)/4)))</f>
        <v>0.644867297694635</v>
      </c>
      <c r="BM4" s="15" t="n">
        <f aca="false">IF(U4="",0,MIN(1,U4/14))</f>
        <v>1</v>
      </c>
      <c r="BN4" s="15" t="n">
        <f aca="false">IF(OR(P4="",K4="",N4="",M4="",M4=0),0,IF(AND('SCORING METHOD'!$C$5-P4&lt;=60,N4/M4&gt;=0.5),MAX(0,MIN(1,(LOG10(MAX(1,K4/MAX(1,'SCORING METHOD'!$C$5-P4)))-2)/2.5)),0))</f>
        <v>0.745882391298718</v>
      </c>
      <c r="BO4" s="15" t="n">
        <f aca="false">IF(S4="",0,MAX(0,MIN(1,1-(S4-3)/27)))</f>
        <v>1</v>
      </c>
      <c r="BP4" s="16" t="n">
        <f aca="false">ROUND(BK4*'SCORING METHOD'!$C$12+BL4*'SCORING METHOD'!$C$13+BM4*'SCORING METHOD'!$C$14+BN4*'SCORING METHOD'!$C$15+BO4*'SCORING METHOD'!$C$16,1)</f>
        <v>64.4</v>
      </c>
      <c r="BQ4" s="16" t="n">
        <f aca="false">ROUND((N(AZ4)+N(BA4)+N(BB4)+N(BC4))/20*100,1)</f>
        <v>50</v>
      </c>
      <c r="BR4" s="17" t="n">
        <f aca="false">IFERROR(INDEX('DATA SUFFICIENCY'!$J$2:$J$63,MATCH(C4,'DATA SUFFICIENCY'!$B$2:$B$63,0)),0)</f>
        <v>0.8</v>
      </c>
      <c r="BS4" s="16" t="n">
        <f aca="false">ROUND('SCORING METHOD'!$C$17*BJ4+'SCORING METHOD'!$C$18*BP4+'SCORING METHOD'!$C$19*BQ4+'SCORING METHOD'!$C$20*BR4*100,1)</f>
        <v>59.3</v>
      </c>
      <c r="BT4" s="15" t="n">
        <f aca="false">IF(F4="INCLUDED",BJ4+(1000-ROW())/100000,-1)</f>
        <v>51.50996</v>
      </c>
      <c r="BU4" s="15" t="n">
        <f aca="false">IF(F4="INCLUDED",BP4+(1000-ROW())/100000,-1)</f>
        <v>64.40996</v>
      </c>
      <c r="BV4" s="15" t="n">
        <f aca="false">IF(F4="INCLUDED",BQ4+(1000-ROW())/100000,-1)</f>
        <v>50.00996</v>
      </c>
      <c r="BW4" s="15" t="n">
        <f aca="false">IF(F4="INCLUDED",BS4+(1000-ROW())/100000,-1)</f>
        <v>59.30996</v>
      </c>
      <c r="BX4" s="2" t="s">
        <v>308</v>
      </c>
    </row>
    <row r="5" customFormat="false" ht="15" hidden="false" customHeight="false" outlineLevel="0" collapsed="false">
      <c r="A5" s="2" t="n">
        <v>4</v>
      </c>
      <c r="B5" s="2" t="s">
        <v>107</v>
      </c>
      <c r="C5" s="2" t="s">
        <v>108</v>
      </c>
      <c r="D5" s="3" t="s">
        <v>109</v>
      </c>
      <c r="E5" s="2" t="s">
        <v>274</v>
      </c>
      <c r="F5" s="2" t="s">
        <v>275</v>
      </c>
      <c r="G5" s="2"/>
      <c r="H5" s="2" t="s">
        <v>309</v>
      </c>
      <c r="I5" s="2" t="s">
        <v>277</v>
      </c>
      <c r="J5" s="2" t="s">
        <v>278</v>
      </c>
      <c r="K5" s="11" t="n">
        <v>131892</v>
      </c>
      <c r="L5" s="11" t="n">
        <v>24</v>
      </c>
      <c r="M5" s="11" t="n">
        <v>56</v>
      </c>
      <c r="N5" s="2" t="n">
        <v>56</v>
      </c>
      <c r="O5" s="2" t="s">
        <v>310</v>
      </c>
      <c r="P5" s="12" t="n">
        <v>46285</v>
      </c>
      <c r="Q5" s="2" t="s">
        <v>280</v>
      </c>
      <c r="R5" s="12" t="n">
        <v>46302</v>
      </c>
      <c r="S5" s="2" t="n">
        <f aca="false">IF(R5="","",'SCORING METHOD'!$C$5-R5)</f>
        <v>2</v>
      </c>
      <c r="T5" s="2" t="n">
        <v>5</v>
      </c>
      <c r="U5" s="2" t="n">
        <v>25</v>
      </c>
      <c r="V5" s="2" t="n">
        <v>53</v>
      </c>
      <c r="W5" s="2" t="n">
        <f aca="false">IF(U5="","",U5/2)</f>
        <v>12.5</v>
      </c>
      <c r="X5" s="11" t="n">
        <v>1302</v>
      </c>
      <c r="Y5" s="11" t="n">
        <v>936</v>
      </c>
      <c r="Z5" s="11" t="n">
        <v>28</v>
      </c>
      <c r="AA5" s="11" t="n">
        <v>25</v>
      </c>
      <c r="AB5" s="2" t="n">
        <v>0</v>
      </c>
      <c r="AC5" s="13" t="n">
        <f aca="false">IF(OR(X5="",K5="",K5=0),"",(X5+N(Z5))/K5)</f>
        <v>0.0100840081278622</v>
      </c>
      <c r="AD5" s="2" t="str">
        <f aca="false">IF(AC5="","UNKNOWN",IF(AC5&gt;=0.05,"Very high",IF(AC5&gt;=0.02,"High",IF(AC5&gt;=0.005,"Medium","Low"))))</f>
        <v>Medium</v>
      </c>
      <c r="AE5" s="11" t="n">
        <v>2635</v>
      </c>
      <c r="AF5" s="11" t="n">
        <v>62</v>
      </c>
      <c r="AG5" s="11" t="n">
        <v>1106935</v>
      </c>
      <c r="AH5" s="3" t="s">
        <v>311</v>
      </c>
      <c r="AI5" s="12" t="n">
        <v>46287</v>
      </c>
      <c r="AJ5" s="11" t="n">
        <v>11486</v>
      </c>
      <c r="AK5" s="2" t="s">
        <v>312</v>
      </c>
      <c r="AL5" s="11" t="n">
        <v>27193</v>
      </c>
      <c r="AM5" s="3" t="s">
        <v>313</v>
      </c>
      <c r="AN5" s="12" t="n">
        <v>46292</v>
      </c>
      <c r="AO5" s="2" t="s">
        <v>314</v>
      </c>
      <c r="AP5" s="2" t="s">
        <v>124</v>
      </c>
      <c r="AQ5" s="2" t="s">
        <v>315</v>
      </c>
      <c r="AR5" s="2" t="s">
        <v>101</v>
      </c>
      <c r="AS5" s="2" t="s">
        <v>123</v>
      </c>
      <c r="AT5" s="2" t="s">
        <v>316</v>
      </c>
      <c r="AU5" s="2" t="s">
        <v>113</v>
      </c>
      <c r="AV5" s="2" t="s">
        <v>114</v>
      </c>
      <c r="AW5" s="2" t="s">
        <v>115</v>
      </c>
      <c r="AX5" s="2" t="s">
        <v>317</v>
      </c>
      <c r="AY5" s="14" t="n">
        <v>4</v>
      </c>
      <c r="AZ5" s="14" t="n">
        <v>4</v>
      </c>
      <c r="BA5" s="14" t="n">
        <v>4</v>
      </c>
      <c r="BB5" s="14" t="n">
        <v>5</v>
      </c>
      <c r="BC5" s="14" t="n">
        <v>5</v>
      </c>
      <c r="BD5" s="15" t="n">
        <f aca="false">IF(K5="",0,MAX(0,MIN(1,(LOG10(MAX(1,K5))-3)/4)))</f>
        <v>0.530054613478663</v>
      </c>
      <c r="BE5" s="15" t="n">
        <f aca="false">IF(X5="",0,MAX(0,MIN(1,(LOG10(MAX(1,X5))-2)/4)))</f>
        <v>0.278652746058043</v>
      </c>
      <c r="BF5" s="15" t="n">
        <f aca="false">IF(AG5="",0,MAX(0,MIN(1,(LOG10(MAX(1,AG5))-3)/4)))</f>
        <v>0.761030529887674</v>
      </c>
      <c r="BG5" s="15" t="n">
        <f aca="false">IF(V5="",0,MIN(1,V5/20))</f>
        <v>1</v>
      </c>
      <c r="BH5" s="15" t="n">
        <f aca="false">MAX(IF(P5="",0,MIN(1,('SCORING METHOD'!$C$5-P5)/730)),IF(M5="",0,MAX(0,MIN(1,(LOG10(MAX(1,M5))-1)/2.5))))</f>
        <v>0.29927521080248</v>
      </c>
      <c r="BI5" s="15" t="n">
        <f aca="false">IF(J5="Y",0.4,0)+0.6*N(AY5)/5</f>
        <v>0.48</v>
      </c>
      <c r="BJ5" s="16" t="n">
        <f aca="false">ROUND(BD5*'SCORING METHOD'!$C$6+BE5*'SCORING METHOD'!$C$7+BF5*'SCORING METHOD'!$C$8+BG5*'SCORING METHOD'!$C$9+BH5*'SCORING METHOD'!$C$10+BI5*'SCORING METHOD'!$C$11,1)</f>
        <v>54.5</v>
      </c>
      <c r="BK5" s="15" t="n">
        <f aca="false">IF(AE5="",0,MAX(0,MIN(1,(LOG10(MAX(1,IF(X5="",AE5,MIN(AE5,X5))))-2)/4)))</f>
        <v>0.278652746058043</v>
      </c>
      <c r="BL5" s="15" t="n">
        <f aca="false">IF(AL5="",0,MAX(0,MIN(1,(LOG10(MAX(1,AL5))-3)/4)))</f>
        <v>0.358614280671925</v>
      </c>
      <c r="BM5" s="15" t="n">
        <f aca="false">IF(U5="",0,MIN(1,U5/14))</f>
        <v>1</v>
      </c>
      <c r="BN5" s="15" t="n">
        <f aca="false">IF(OR(P5="",K5="",N5="",M5="",M5=0),0,IF(AND('SCORING METHOD'!$C$5-P5&lt;=60,N5/M5&gt;=0.5),MAX(0,MIN(1,(LOG10(MAX(1,K5/MAX(1,'SCORING METHOD'!$C$5-P5)))-2)/2.5)),0))</f>
        <v>0.73658594118473</v>
      </c>
      <c r="BO5" s="15" t="n">
        <f aca="false">IF(S5="",0,MAX(0,MIN(1,1-(S5-3)/27)))</f>
        <v>1</v>
      </c>
      <c r="BP5" s="16" t="n">
        <f aca="false">ROUND(BK5*'SCORING METHOD'!$C$12+BL5*'SCORING METHOD'!$C$13+BM5*'SCORING METHOD'!$C$14+BN5*'SCORING METHOD'!$C$15+BO5*'SCORING METHOD'!$C$16,1)</f>
        <v>54.8</v>
      </c>
      <c r="BQ5" s="16" t="n">
        <f aca="false">ROUND((N(AZ5)+N(BA5)+N(BB5)+N(BC5))/20*100,1)</f>
        <v>90</v>
      </c>
      <c r="BR5" s="17" t="n">
        <f aca="false">IFERROR(INDEX('DATA SUFFICIENCY'!$J$2:$J$63,MATCH(C5,'DATA SUFFICIENCY'!$B$2:$B$63,0)),0)</f>
        <v>1</v>
      </c>
      <c r="BS5" s="16" t="n">
        <f aca="false">ROUND('SCORING METHOD'!$C$17*BJ5+'SCORING METHOD'!$C$18*BP5+'SCORING METHOD'!$C$19*BQ5+'SCORING METHOD'!$C$20*BR5*100,1)</f>
        <v>68.5</v>
      </c>
      <c r="BT5" s="15" t="n">
        <f aca="false">IF(F5="INCLUDED",BJ5+(1000-ROW())/100000,-1)</f>
        <v>54.50995</v>
      </c>
      <c r="BU5" s="15" t="n">
        <f aca="false">IF(F5="INCLUDED",BP5+(1000-ROW())/100000,-1)</f>
        <v>54.80995</v>
      </c>
      <c r="BV5" s="15" t="n">
        <f aca="false">IF(F5="INCLUDED",BQ5+(1000-ROW())/100000,-1)</f>
        <v>90.00995</v>
      </c>
      <c r="BW5" s="15" t="n">
        <f aca="false">IF(F5="INCLUDED",BS5+(1000-ROW())/100000,-1)</f>
        <v>68.50995</v>
      </c>
      <c r="BX5" s="2" t="s">
        <v>318</v>
      </c>
    </row>
    <row r="6" customFormat="false" ht="15" hidden="false" customHeight="false" outlineLevel="0" collapsed="false">
      <c r="A6" s="2" t="n">
        <v>5</v>
      </c>
      <c r="B6" s="2" t="s">
        <v>130</v>
      </c>
      <c r="C6" s="2" t="s">
        <v>131</v>
      </c>
      <c r="D6" s="3" t="s">
        <v>132</v>
      </c>
      <c r="E6" s="2" t="s">
        <v>274</v>
      </c>
      <c r="F6" s="2" t="s">
        <v>275</v>
      </c>
      <c r="G6" s="2"/>
      <c r="H6" s="2" t="s">
        <v>319</v>
      </c>
      <c r="I6" s="2" t="s">
        <v>277</v>
      </c>
      <c r="J6" s="2" t="s">
        <v>278</v>
      </c>
      <c r="K6" s="11" t="n">
        <v>531003</v>
      </c>
      <c r="L6" s="11" t="n">
        <v>0</v>
      </c>
      <c r="M6" s="11" t="n">
        <v>27</v>
      </c>
      <c r="N6" s="2" t="n">
        <v>27</v>
      </c>
      <c r="O6" s="2" t="s">
        <v>320</v>
      </c>
      <c r="P6" s="12" t="n">
        <v>46290</v>
      </c>
      <c r="Q6" s="2" t="s">
        <v>280</v>
      </c>
      <c r="R6" s="12" t="n">
        <v>46303</v>
      </c>
      <c r="S6" s="2" t="n">
        <f aca="false">IF(R6="","",'SCORING METHOD'!$C$5-R6)</f>
        <v>1</v>
      </c>
      <c r="T6" s="2" t="n">
        <v>11</v>
      </c>
      <c r="U6" s="2" t="n">
        <v>27</v>
      </c>
      <c r="V6" s="2" t="n">
        <v>27</v>
      </c>
      <c r="W6" s="2" t="n">
        <f aca="false">IF(U6="","",U6/2)</f>
        <v>13.5</v>
      </c>
      <c r="X6" s="11" t="n">
        <v>22069</v>
      </c>
      <c r="Y6" s="11" t="n">
        <v>9664</v>
      </c>
      <c r="Z6" s="11" t="n">
        <v>578</v>
      </c>
      <c r="AA6" s="11" t="n">
        <v>437</v>
      </c>
      <c r="AB6" s="2" t="n">
        <v>0</v>
      </c>
      <c r="AC6" s="13" t="n">
        <f aca="false">IF(OR(X6="",K6="",K6=0),"",(X6+N(Z6))/K6)</f>
        <v>0.0426494765566296</v>
      </c>
      <c r="AD6" s="2" t="str">
        <f aca="false">IF(AC6="","UNKNOWN",IF(AC6&gt;=0.05,"Very high",IF(AC6&gt;=0.02,"High",IF(AC6&gt;=0.005,"Medium","Low"))))</f>
        <v>High</v>
      </c>
      <c r="AE6" s="11" t="n">
        <v>157239</v>
      </c>
      <c r="AF6" s="11" t="n">
        <v>4532</v>
      </c>
      <c r="AG6" s="11" t="n">
        <v>1392520</v>
      </c>
      <c r="AH6" s="3" t="s">
        <v>321</v>
      </c>
      <c r="AI6" s="12" t="n">
        <v>46290</v>
      </c>
      <c r="AJ6" s="11" t="n">
        <v>16271</v>
      </c>
      <c r="AK6" s="2" t="s">
        <v>322</v>
      </c>
      <c r="AL6" s="11" t="n">
        <v>1392520</v>
      </c>
      <c r="AM6" s="3" t="s">
        <v>321</v>
      </c>
      <c r="AN6" s="12" t="n">
        <v>46290</v>
      </c>
      <c r="AO6" s="2" t="s">
        <v>323</v>
      </c>
      <c r="AP6" s="2" t="s">
        <v>146</v>
      </c>
      <c r="AQ6" s="2" t="s">
        <v>324</v>
      </c>
      <c r="AR6" s="2" t="s">
        <v>145</v>
      </c>
      <c r="AS6" s="2" t="s">
        <v>101</v>
      </c>
      <c r="AT6" s="2" t="s">
        <v>325</v>
      </c>
      <c r="AU6" s="2" t="s">
        <v>136</v>
      </c>
      <c r="AV6" s="2" t="s">
        <v>137</v>
      </c>
      <c r="AW6" s="2" t="s">
        <v>138</v>
      </c>
      <c r="AX6" s="2" t="s">
        <v>326</v>
      </c>
      <c r="AY6" s="14" t="n">
        <v>3</v>
      </c>
      <c r="AZ6" s="14" t="n">
        <v>5</v>
      </c>
      <c r="BA6" s="14" t="n">
        <v>4</v>
      </c>
      <c r="BB6" s="14" t="n">
        <v>2</v>
      </c>
      <c r="BC6" s="14" t="n">
        <v>1</v>
      </c>
      <c r="BD6" s="15" t="n">
        <f aca="false">IF(K6="",0,MAX(0,MIN(1,(LOG10(MAX(1,K6))-3)/4)))</f>
        <v>0.68127424367892</v>
      </c>
      <c r="BE6" s="15" t="n">
        <f aca="false">IF(X6="",0,MAX(0,MIN(1,(LOG10(MAX(1,X6))-2)/4)))</f>
        <v>0.585945663667382</v>
      </c>
      <c r="BF6" s="15" t="n">
        <f aca="false">IF(AG6="",0,MAX(0,MIN(1,(LOG10(MAX(1,AG6))-3)/4)))</f>
        <v>0.785950360355923</v>
      </c>
      <c r="BG6" s="15" t="n">
        <f aca="false">IF(V6="",0,MIN(1,V6/20))</f>
        <v>1</v>
      </c>
      <c r="BH6" s="15" t="n">
        <f aca="false">MAX(IF(P6="",0,MIN(1,('SCORING METHOD'!$C$5-P6)/730)),IF(M6="",0,MAX(0,MIN(1,(LOG10(MAX(1,M6))-1)/2.5))))</f>
        <v>0.172545505663595</v>
      </c>
      <c r="BI6" s="15" t="n">
        <f aca="false">IF(J6="Y",0.4,0)+0.6*N(AY6)/5</f>
        <v>0.36</v>
      </c>
      <c r="BJ6" s="16" t="n">
        <f aca="false">ROUND(BD6*'SCORING METHOD'!$C$6+BE6*'SCORING METHOD'!$C$7+BF6*'SCORING METHOD'!$C$8+BG6*'SCORING METHOD'!$C$9+BH6*'SCORING METHOD'!$C$10+BI6*'SCORING METHOD'!$C$11,1)</f>
        <v>63.2</v>
      </c>
      <c r="BK6" s="15" t="n">
        <f aca="false">IF(AE6="",0,MAX(0,MIN(1,(LOG10(MAX(1,IF(X6="",AE6,MIN(AE6,X6))))-2)/4)))</f>
        <v>0.585945663667382</v>
      </c>
      <c r="BL6" s="15" t="n">
        <f aca="false">IF(AL6="",0,MAX(0,MIN(1,(LOG10(MAX(1,AL6))-3)/4)))</f>
        <v>0.785950360355923</v>
      </c>
      <c r="BM6" s="15" t="n">
        <f aca="false">IF(U6="",0,MIN(1,U6/14))</f>
        <v>1</v>
      </c>
      <c r="BN6" s="15" t="n">
        <f aca="false">IF(OR(P6="",K6="",N6="",M6="",M6=0),0,IF(AND('SCORING METHOD'!$C$5-P6&lt;=60,N6/M6&gt;=0.5),MAX(0,MIN(1,(LOG10(MAX(1,K6/MAX(1,'SCORING METHOD'!$C$5-P6)))-2)/2.5)),0))</f>
        <v>1</v>
      </c>
      <c r="BO6" s="15" t="n">
        <f aca="false">IF(S6="",0,MAX(0,MIN(1,1-(S6-3)/27)))</f>
        <v>1</v>
      </c>
      <c r="BP6" s="16" t="n">
        <f aca="false">ROUND(BK6*'SCORING METHOD'!$C$12+BL6*'SCORING METHOD'!$C$13+BM6*'SCORING METHOD'!$C$14+BN6*'SCORING METHOD'!$C$15+BO6*'SCORING METHOD'!$C$16,1)</f>
        <v>80.2</v>
      </c>
      <c r="BQ6" s="16" t="n">
        <f aca="false">ROUND((N(AZ6)+N(BA6)+N(BB6)+N(BC6))/20*100,1)</f>
        <v>60</v>
      </c>
      <c r="BR6" s="17" t="n">
        <f aca="false">IFERROR(INDEX('DATA SUFFICIENCY'!$J$2:$J$63,MATCH(C6,'DATA SUFFICIENCY'!$B$2:$B$63,0)),0)</f>
        <v>0.9</v>
      </c>
      <c r="BS6" s="16" t="n">
        <f aca="false">ROUND('SCORING METHOD'!$C$17*BJ6+'SCORING METHOD'!$C$18*BP6+'SCORING METHOD'!$C$19*BQ6+'SCORING METHOD'!$C$20*BR6*100,1)</f>
        <v>71.7</v>
      </c>
      <c r="BT6" s="15" t="n">
        <f aca="false">IF(F6="INCLUDED",BJ6+(1000-ROW())/100000,-1)</f>
        <v>63.20994</v>
      </c>
      <c r="BU6" s="15" t="n">
        <f aca="false">IF(F6="INCLUDED",BP6+(1000-ROW())/100000,-1)</f>
        <v>80.20994</v>
      </c>
      <c r="BV6" s="15" t="n">
        <f aca="false">IF(F6="INCLUDED",BQ6+(1000-ROW())/100000,-1)</f>
        <v>60.00994</v>
      </c>
      <c r="BW6" s="15" t="n">
        <f aca="false">IF(F6="INCLUDED",BS6+(1000-ROW())/100000,-1)</f>
        <v>71.70994</v>
      </c>
      <c r="BX6" s="2" t="s">
        <v>327</v>
      </c>
    </row>
    <row r="7" customFormat="false" ht="15" hidden="false" customHeight="false" outlineLevel="0" collapsed="false">
      <c r="A7" s="2" t="n">
        <v>6</v>
      </c>
      <c r="B7" s="2" t="s">
        <v>152</v>
      </c>
      <c r="C7" s="2" t="s">
        <v>153</v>
      </c>
      <c r="D7" s="3" t="s">
        <v>154</v>
      </c>
      <c r="E7" s="2" t="s">
        <v>274</v>
      </c>
      <c r="F7" s="2" t="s">
        <v>275</v>
      </c>
      <c r="G7" s="2" t="s">
        <v>328</v>
      </c>
      <c r="H7" s="2" t="s">
        <v>329</v>
      </c>
      <c r="I7" s="2" t="s">
        <v>277</v>
      </c>
      <c r="J7" s="2" t="s">
        <v>278</v>
      </c>
      <c r="K7" s="11" t="n">
        <v>4299</v>
      </c>
      <c r="L7" s="11" t="n">
        <v>1</v>
      </c>
      <c r="M7" s="11" t="n">
        <v>18</v>
      </c>
      <c r="N7" s="2" t="n">
        <v>18</v>
      </c>
      <c r="O7" s="2" t="s">
        <v>330</v>
      </c>
      <c r="P7" s="12" t="n">
        <v>46291</v>
      </c>
      <c r="Q7" s="2" t="s">
        <v>280</v>
      </c>
      <c r="R7" s="12" t="n">
        <v>46303</v>
      </c>
      <c r="S7" s="2" t="n">
        <f aca="false">IF(R7="","",'SCORING METHOD'!$C$5-R7)</f>
        <v>1</v>
      </c>
      <c r="T7" s="2" t="n">
        <v>7</v>
      </c>
      <c r="U7" s="2" t="n">
        <v>18</v>
      </c>
      <c r="V7" s="2" t="n">
        <v>18</v>
      </c>
      <c r="W7" s="2" t="n">
        <f aca="false">IF(U7="","",U7/2)</f>
        <v>9</v>
      </c>
      <c r="X7" s="11" t="n">
        <v>6938</v>
      </c>
      <c r="Y7" s="11" t="n">
        <v>4911</v>
      </c>
      <c r="Z7" s="11" t="n">
        <v>14</v>
      </c>
      <c r="AA7" s="11" t="n">
        <v>5</v>
      </c>
      <c r="AB7" s="2" t="n">
        <v>11</v>
      </c>
      <c r="AC7" s="13" t="n">
        <f aca="false">IF(OR(X7="",K7="",K7=0),"",(X7+N(Z7))/K7)</f>
        <v>1.6171202605257</v>
      </c>
      <c r="AD7" s="2" t="str">
        <f aca="false">IF(AC7="","UNKNOWN",IF(AC7&gt;=0.05,"Very high",IF(AC7&gt;=0.02,"High",IF(AC7&gt;=0.005,"Medium","Low"))))</f>
        <v>Very high</v>
      </c>
      <c r="AE7" s="11" t="n">
        <v>6938</v>
      </c>
      <c r="AF7" s="11" t="n">
        <v>63</v>
      </c>
      <c r="AG7" s="11" t="n">
        <v>17442</v>
      </c>
      <c r="AH7" s="3" t="s">
        <v>331</v>
      </c>
      <c r="AI7" s="12" t="n">
        <v>46299</v>
      </c>
      <c r="AJ7" s="11" t="n">
        <v>91</v>
      </c>
      <c r="AK7" s="2" t="s">
        <v>332</v>
      </c>
      <c r="AL7" s="11" t="n">
        <v>17442</v>
      </c>
      <c r="AM7" s="3" t="s">
        <v>331</v>
      </c>
      <c r="AN7" s="12" t="n">
        <v>46299</v>
      </c>
      <c r="AO7" s="2" t="s">
        <v>333</v>
      </c>
      <c r="AP7" s="2" t="s">
        <v>169</v>
      </c>
      <c r="AQ7" s="2" t="s">
        <v>334</v>
      </c>
      <c r="AR7" s="2" t="s">
        <v>168</v>
      </c>
      <c r="AS7" s="2" t="s">
        <v>101</v>
      </c>
      <c r="AT7" s="2" t="s">
        <v>335</v>
      </c>
      <c r="AU7" s="2" t="s">
        <v>158</v>
      </c>
      <c r="AV7" s="2" t="s">
        <v>159</v>
      </c>
      <c r="AW7" s="2" t="s">
        <v>160</v>
      </c>
      <c r="AX7" s="2" t="s">
        <v>336</v>
      </c>
      <c r="AY7" s="14" t="n">
        <v>3</v>
      </c>
      <c r="AZ7" s="14" t="n">
        <v>4</v>
      </c>
      <c r="BA7" s="14" t="n">
        <v>4</v>
      </c>
      <c r="BB7" s="14" t="n">
        <v>3</v>
      </c>
      <c r="BC7" s="14" t="n">
        <v>3</v>
      </c>
      <c r="BD7" s="15" t="n">
        <f aca="false">IF(K7="",0,MAX(0,MIN(1,(LOG10(MAX(1,K7))-3)/4)))</f>
        <v>0.158341861279252</v>
      </c>
      <c r="BE7" s="15" t="n">
        <f aca="false">IF(X7="",0,MAX(0,MIN(1,(LOG10(MAX(1,X7))-2)/4)))</f>
        <v>0.46030857387651</v>
      </c>
      <c r="BF7" s="15" t="n">
        <f aca="false">IF(AG7="",0,MAX(0,MIN(1,(LOG10(MAX(1,AG7))-3)/4)))</f>
        <v>0.310399070538518</v>
      </c>
      <c r="BG7" s="15" t="n">
        <f aca="false">IF(V7="",0,MIN(1,V7/20))</f>
        <v>0.9</v>
      </c>
      <c r="BH7" s="15" t="n">
        <f aca="false">MAX(IF(P7="",0,MIN(1,('SCORING METHOD'!$C$5-P7)/730)),IF(M7="",0,MAX(0,MIN(1,(LOG10(MAX(1,M7))-1)/2.5))))</f>
        <v>0.102109002041322</v>
      </c>
      <c r="BI7" s="15" t="n">
        <f aca="false">IF(J7="Y",0.4,0)+0.6*N(AY7)/5</f>
        <v>0.36</v>
      </c>
      <c r="BJ7" s="16" t="n">
        <f aca="false">ROUND(BD7*'SCORING METHOD'!$C$6+BE7*'SCORING METHOD'!$C$7+BF7*'SCORING METHOD'!$C$8+BG7*'SCORING METHOD'!$C$9+BH7*'SCORING METHOD'!$C$10+BI7*'SCORING METHOD'!$C$11,1)</f>
        <v>33.8</v>
      </c>
      <c r="BK7" s="15" t="n">
        <f aca="false">IF(AE7="",0,MAX(0,MIN(1,(LOG10(MAX(1,IF(X7="",AE7,MIN(AE7,X7))))-2)/4)))</f>
        <v>0.46030857387651</v>
      </c>
      <c r="BL7" s="15" t="n">
        <f aca="false">IF(AL7="",0,MAX(0,MIN(1,(LOG10(MAX(1,AL7))-3)/4)))</f>
        <v>0.310399070538518</v>
      </c>
      <c r="BM7" s="15" t="n">
        <f aca="false">IF(U7="",0,MIN(1,U7/14))</f>
        <v>1</v>
      </c>
      <c r="BN7" s="15" t="n">
        <f aca="false">IF(OR(P7="",K7="",N7="",M7="",M7=0),0,IF(AND('SCORING METHOD'!$C$5-P7&lt;=60,N7/M7&gt;=0.5),MAX(0,MIN(1,(LOG10(MAX(1,K7/MAX(1,'SCORING METHOD'!$C$5-P7)))-2)/2.5)),0))</f>
        <v>0.207769637124068</v>
      </c>
      <c r="BO7" s="15" t="n">
        <f aca="false">IF(S7="",0,MAX(0,MIN(1,1-(S7-3)/27)))</f>
        <v>1</v>
      </c>
      <c r="BP7" s="16" t="n">
        <f aca="false">ROUND(BK7*'SCORING METHOD'!$C$12+BL7*'SCORING METHOD'!$C$13+BM7*'SCORING METHOD'!$C$14+BN7*'SCORING METHOD'!$C$15+BO7*'SCORING METHOD'!$C$16,1)</f>
        <v>52</v>
      </c>
      <c r="BQ7" s="16" t="n">
        <f aca="false">ROUND((N(AZ7)+N(BA7)+N(BB7)+N(BC7))/20*100,1)</f>
        <v>70</v>
      </c>
      <c r="BR7" s="17" t="n">
        <f aca="false">IFERROR(INDEX('DATA SUFFICIENCY'!$J$2:$J$63,MATCH(C7,'DATA SUFFICIENCY'!$B$2:$B$63,0)),0)</f>
        <v>0.7</v>
      </c>
      <c r="BS7" s="16" t="n">
        <f aca="false">ROUND('SCORING METHOD'!$C$17*BJ7+'SCORING METHOD'!$C$18*BP7+'SCORING METHOD'!$C$19*BQ7+'SCORING METHOD'!$C$20*BR7*100,1)</f>
        <v>51.9</v>
      </c>
      <c r="BT7" s="15" t="n">
        <f aca="false">IF(F7="INCLUDED",BJ7+(1000-ROW())/100000,-1)</f>
        <v>33.80993</v>
      </c>
      <c r="BU7" s="15" t="n">
        <f aca="false">IF(F7="INCLUDED",BP7+(1000-ROW())/100000,-1)</f>
        <v>52.00993</v>
      </c>
      <c r="BV7" s="15" t="n">
        <f aca="false">IF(F7="INCLUDED",BQ7+(1000-ROW())/100000,-1)</f>
        <v>70.00993</v>
      </c>
      <c r="BW7" s="15" t="n">
        <f aca="false">IF(F7="INCLUDED",BS7+(1000-ROW())/100000,-1)</f>
        <v>51.90993</v>
      </c>
      <c r="BX7" s="2" t="s">
        <v>337</v>
      </c>
    </row>
    <row r="8" customFormat="false" ht="15" hidden="false" customHeight="false" outlineLevel="0" collapsed="false">
      <c r="A8" s="2" t="n">
        <v>7</v>
      </c>
      <c r="B8" s="2" t="s">
        <v>175</v>
      </c>
      <c r="C8" s="2" t="s">
        <v>176</v>
      </c>
      <c r="D8" s="3" t="s">
        <v>177</v>
      </c>
      <c r="E8" s="2" t="s">
        <v>274</v>
      </c>
      <c r="F8" s="2" t="s">
        <v>275</v>
      </c>
      <c r="G8" s="2"/>
      <c r="H8" s="2" t="s">
        <v>338</v>
      </c>
      <c r="I8" s="2" t="s">
        <v>277</v>
      </c>
      <c r="J8" s="2" t="s">
        <v>278</v>
      </c>
      <c r="K8" s="11" t="n">
        <v>15092</v>
      </c>
      <c r="L8" s="11" t="n">
        <v>1</v>
      </c>
      <c r="M8" s="11" t="n">
        <v>12</v>
      </c>
      <c r="N8" s="2" t="n">
        <v>12</v>
      </c>
      <c r="O8" s="2" t="s">
        <v>279</v>
      </c>
      <c r="P8" s="12" t="n">
        <v>46287</v>
      </c>
      <c r="Q8" s="2" t="s">
        <v>280</v>
      </c>
      <c r="R8" s="12" t="n">
        <v>46297</v>
      </c>
      <c r="S8" s="2" t="n">
        <f aca="false">IF(R8="","",'SCORING METHOD'!$C$5-R8)</f>
        <v>7</v>
      </c>
      <c r="T8" s="2" t="n">
        <v>0</v>
      </c>
      <c r="U8" s="2" t="n">
        <v>7</v>
      </c>
      <c r="V8" s="2" t="n">
        <v>12</v>
      </c>
      <c r="W8" s="2" t="n">
        <f aca="false">IF(U8="","",U8/2)</f>
        <v>3.5</v>
      </c>
      <c r="X8" s="11" t="n">
        <v>13819</v>
      </c>
      <c r="Y8" s="11" t="n">
        <v>2046</v>
      </c>
      <c r="Z8" s="11" t="n">
        <v>1015</v>
      </c>
      <c r="AA8" s="11" t="n">
        <v>87</v>
      </c>
      <c r="AB8" s="2" t="n">
        <v>0</v>
      </c>
      <c r="AC8" s="13" t="n">
        <f aca="false">IF(OR(X8="",K8="",K8=0),"",(X8+N(Z8))/K8)</f>
        <v>0.982904850251789</v>
      </c>
      <c r="AD8" s="2" t="str">
        <f aca="false">IF(AC8="","UNKNOWN",IF(AC8&gt;=0.05,"Very high",IF(AC8&gt;=0.02,"High",IF(AC8&gt;=0.005,"Medium","Low"))))</f>
        <v>Very high</v>
      </c>
      <c r="AE8" s="11" t="n">
        <v>1941</v>
      </c>
      <c r="AF8" s="11" t="n">
        <v>67</v>
      </c>
      <c r="AG8" s="11" t="n">
        <v>52286</v>
      </c>
      <c r="AH8" s="3" t="s">
        <v>339</v>
      </c>
      <c r="AI8" s="12" t="n">
        <v>46289</v>
      </c>
      <c r="AJ8" s="11" t="n">
        <v>1767</v>
      </c>
      <c r="AK8" s="2" t="s">
        <v>340</v>
      </c>
      <c r="AL8" s="11" t="n">
        <v>9256</v>
      </c>
      <c r="AM8" s="3" t="s">
        <v>341</v>
      </c>
      <c r="AN8" s="12" t="n">
        <v>46290</v>
      </c>
      <c r="AO8" s="2" t="s">
        <v>342</v>
      </c>
      <c r="AP8" s="2" t="s">
        <v>78</v>
      </c>
      <c r="AQ8" s="2" t="s">
        <v>343</v>
      </c>
      <c r="AR8" s="2" t="s">
        <v>191</v>
      </c>
      <c r="AS8" s="2" t="s">
        <v>101</v>
      </c>
      <c r="AT8" s="2" t="s">
        <v>344</v>
      </c>
      <c r="AU8" s="2" t="s">
        <v>181</v>
      </c>
      <c r="AV8" s="2" t="s">
        <v>182</v>
      </c>
      <c r="AW8" s="2" t="s">
        <v>183</v>
      </c>
      <c r="AX8" s="2" t="s">
        <v>345</v>
      </c>
      <c r="AY8" s="14" t="n">
        <v>2</v>
      </c>
      <c r="AZ8" s="14" t="n">
        <v>4</v>
      </c>
      <c r="BA8" s="14" t="n">
        <v>3</v>
      </c>
      <c r="BB8" s="14" t="n">
        <v>2</v>
      </c>
      <c r="BC8" s="14" t="n">
        <v>1</v>
      </c>
      <c r="BD8" s="15" t="n">
        <f aca="false">IF(K8="",0,MAX(0,MIN(1,(LOG10(MAX(1,K8))-3)/4)))</f>
        <v>0.294686699132239</v>
      </c>
      <c r="BE8" s="15" t="n">
        <f aca="false">IF(X8="",0,MAX(0,MIN(1,(LOG10(MAX(1,X8))-2)/4)))</f>
        <v>0.535119154207533</v>
      </c>
      <c r="BF8" s="15" t="n">
        <f aca="false">IF(AG8="",0,MAX(0,MIN(1,(LOG10(MAX(1,AG8))-3)/4)))</f>
        <v>0.42959635464189</v>
      </c>
      <c r="BG8" s="15" t="n">
        <f aca="false">IF(V8="",0,MIN(1,V8/20))</f>
        <v>0.6</v>
      </c>
      <c r="BH8" s="15" t="n">
        <f aca="false">MAX(IF(P8="",0,MIN(1,('SCORING METHOD'!$C$5-P8)/730)),IF(M8="",0,MAX(0,MIN(1,(LOG10(MAX(1,M8))-1)/2.5))))</f>
        <v>0.03167249841905</v>
      </c>
      <c r="BI8" s="15" t="n">
        <f aca="false">IF(J8="Y",0.4,0)+0.6*N(AY8)/5</f>
        <v>0.24</v>
      </c>
      <c r="BJ8" s="16" t="n">
        <f aca="false">ROUND(BD8*'SCORING METHOD'!$C$6+BE8*'SCORING METHOD'!$C$7+BF8*'SCORING METHOD'!$C$8+BG8*'SCORING METHOD'!$C$9+BH8*'SCORING METHOD'!$C$10+BI8*'SCORING METHOD'!$C$11,1)</f>
        <v>36.9</v>
      </c>
      <c r="BK8" s="15" t="n">
        <f aca="false">IF(AE8="",0,MAX(0,MIN(1,(LOG10(MAX(1,IF(X8="",AE8,MIN(AE8,X8))))-2)/4)))</f>
        <v>0.322006383847091</v>
      </c>
      <c r="BL8" s="15" t="n">
        <f aca="false">IF(AL8="",0,MAX(0,MIN(1,(LOG10(MAX(1,AL8))-3)/4)))</f>
        <v>0.241605836485923</v>
      </c>
      <c r="BM8" s="15" t="n">
        <f aca="false">IF(U8="",0,MIN(1,U8/14))</f>
        <v>0.5</v>
      </c>
      <c r="BN8" s="15" t="n">
        <f aca="false">IF(OR(P8="",K8="",N8="",M8="",M8=0),0,IF(AND('SCORING METHOD'!$C$5-P8&lt;=60,N8/M8&gt;=0.5),MAX(0,MIN(1,(LOG10(MAX(1,K8/MAX(1,'SCORING METHOD'!$C$5-P8)))-2)/2.5)),0))</f>
        <v>0.379319150060274</v>
      </c>
      <c r="BO8" s="15" t="n">
        <f aca="false">IF(S8="",0,MAX(0,MIN(1,1-(S8-3)/27)))</f>
        <v>0.851851851851852</v>
      </c>
      <c r="BP8" s="16" t="n">
        <f aca="false">ROUND(BK8*'SCORING METHOD'!$C$12+BL8*'SCORING METHOD'!$C$13+BM8*'SCORING METHOD'!$C$14+BN8*'SCORING METHOD'!$C$15+BO8*'SCORING METHOD'!$C$16,1)</f>
        <v>39</v>
      </c>
      <c r="BQ8" s="16" t="n">
        <f aca="false">ROUND((N(AZ8)+N(BA8)+N(BB8)+N(BC8))/20*100,1)</f>
        <v>50</v>
      </c>
      <c r="BR8" s="17" t="n">
        <f aca="false">IFERROR(INDEX('DATA SUFFICIENCY'!$J$2:$J$63,MATCH(C8,'DATA SUFFICIENCY'!$B$2:$B$63,0)),0)</f>
        <v>0.7</v>
      </c>
      <c r="BS8" s="16" t="n">
        <f aca="false">ROUND('SCORING METHOD'!$C$17*BJ8+'SCORING METHOD'!$C$18*BP8+'SCORING METHOD'!$C$19*BQ8+'SCORING METHOD'!$C$20*BR8*100,1)</f>
        <v>45.1</v>
      </c>
      <c r="BT8" s="15" t="n">
        <f aca="false">IF(F8="INCLUDED",BJ8+(1000-ROW())/100000,-1)</f>
        <v>36.90992</v>
      </c>
      <c r="BU8" s="15" t="n">
        <f aca="false">IF(F8="INCLUDED",BP8+(1000-ROW())/100000,-1)</f>
        <v>39.00992</v>
      </c>
      <c r="BV8" s="15" t="n">
        <f aca="false">IF(F8="INCLUDED",BQ8+(1000-ROW())/100000,-1)</f>
        <v>50.00992</v>
      </c>
      <c r="BW8" s="15" t="n">
        <f aca="false">IF(F8="INCLUDED",BS8+(1000-ROW())/100000,-1)</f>
        <v>45.10992</v>
      </c>
      <c r="BX8" s="2" t="s">
        <v>346</v>
      </c>
    </row>
    <row r="9" customFormat="false" ht="15" hidden="false" customHeight="false" outlineLevel="0" collapsed="false">
      <c r="A9" s="2" t="n">
        <v>8</v>
      </c>
      <c r="B9" s="2" t="s">
        <v>347</v>
      </c>
      <c r="C9" s="2" t="s">
        <v>348</v>
      </c>
      <c r="D9" s="3" t="s">
        <v>349</v>
      </c>
      <c r="E9" s="2" t="s">
        <v>350</v>
      </c>
      <c r="F9" s="2" t="s">
        <v>275</v>
      </c>
      <c r="G9" s="2"/>
      <c r="H9" s="2" t="s">
        <v>351</v>
      </c>
      <c r="I9" s="2" t="s">
        <v>277</v>
      </c>
      <c r="J9" s="2" t="s">
        <v>352</v>
      </c>
      <c r="K9" s="11" t="n">
        <v>63330</v>
      </c>
      <c r="L9" s="11" t="n">
        <v>1</v>
      </c>
      <c r="M9" s="11" t="n">
        <v>30</v>
      </c>
      <c r="N9" s="2" t="n">
        <v>24</v>
      </c>
      <c r="O9" s="2" t="s">
        <v>353</v>
      </c>
      <c r="P9" s="12" t="n">
        <v>46288</v>
      </c>
      <c r="Q9" s="2" t="s">
        <v>354</v>
      </c>
      <c r="R9" s="12" t="n">
        <v>46303</v>
      </c>
      <c r="S9" s="2" t="n">
        <f aca="false">IF(R9="","",'SCORING METHOD'!$C$5-R9)</f>
        <v>1</v>
      </c>
      <c r="T9" s="2" t="n">
        <v>8</v>
      </c>
      <c r="U9" s="2" t="n">
        <v>18</v>
      </c>
      <c r="V9" s="2" t="n">
        <v>22</v>
      </c>
      <c r="W9" s="2" t="n">
        <f aca="false">IF(U9="","",U9/2)</f>
        <v>9</v>
      </c>
      <c r="X9" s="11" t="n">
        <v>349345</v>
      </c>
      <c r="Y9" s="11" t="n">
        <v>18912</v>
      </c>
      <c r="Z9" s="11" t="n">
        <v>1963</v>
      </c>
      <c r="AA9" s="11" t="n">
        <v>550</v>
      </c>
      <c r="AB9" s="2" t="n">
        <v>0</v>
      </c>
      <c r="AC9" s="13" t="n">
        <f aca="false">IF(OR(X9="",K9="",K9=0),"",(X9+N(Z9))/K9)</f>
        <v>5.54726038212538</v>
      </c>
      <c r="AD9" s="2" t="str">
        <f aca="false">IF(AC9="","UNKNOWN",IF(AC9&gt;=0.05,"Very high",IF(AC9&gt;=0.02,"High",IF(AC9&gt;=0.005,"Medium","Low"))))</f>
        <v>Very high</v>
      </c>
      <c r="AE9" s="11" t="n">
        <v>301185</v>
      </c>
      <c r="AF9" s="11" t="n">
        <v>1843</v>
      </c>
      <c r="AG9" s="11" t="n">
        <v>3150423</v>
      </c>
      <c r="AH9" s="3" t="s">
        <v>355</v>
      </c>
      <c r="AI9" s="12" t="n">
        <v>46294</v>
      </c>
      <c r="AJ9" s="11" t="n">
        <v>7700</v>
      </c>
      <c r="AK9" s="2" t="s">
        <v>356</v>
      </c>
      <c r="AL9" s="11" t="n">
        <v>3150423</v>
      </c>
      <c r="AM9" s="3" t="s">
        <v>355</v>
      </c>
      <c r="AN9" s="12" t="n">
        <v>46294</v>
      </c>
      <c r="AO9" s="2" t="s">
        <v>357</v>
      </c>
      <c r="AP9" s="2" t="s">
        <v>358</v>
      </c>
      <c r="AQ9" s="2" t="s">
        <v>359</v>
      </c>
      <c r="AR9" s="2"/>
      <c r="AS9" s="2" t="s">
        <v>360</v>
      </c>
      <c r="AT9" s="2" t="s">
        <v>361</v>
      </c>
      <c r="AU9" s="2" t="s">
        <v>362</v>
      </c>
      <c r="AV9" s="2" t="s">
        <v>363</v>
      </c>
      <c r="AW9" s="2" t="s">
        <v>364</v>
      </c>
      <c r="AX9" s="2" t="s">
        <v>365</v>
      </c>
      <c r="AY9" s="14" t="n">
        <v>4</v>
      </c>
      <c r="AZ9" s="14" t="n">
        <v>5</v>
      </c>
      <c r="BA9" s="14" t="n">
        <v>4</v>
      </c>
      <c r="BB9" s="14" t="n">
        <v>3</v>
      </c>
      <c r="BC9" s="14" t="n">
        <v>4</v>
      </c>
      <c r="BD9" s="15" t="n">
        <f aca="false">IF(K9="",0,MAX(0,MIN(1,(LOG10(MAX(1,K9))-3)/4)))</f>
        <v>0.45040237200683</v>
      </c>
      <c r="BE9" s="15" t="n">
        <f aca="false">IF(X9="",0,MAX(0,MIN(1,(LOG10(MAX(1,X9))-2)/4)))</f>
        <v>0.885813632948865</v>
      </c>
      <c r="BF9" s="15" t="n">
        <f aca="false">IF(AG9="",0,MAX(0,MIN(1,(LOG10(MAX(1,AG9))-3)/4)))</f>
        <v>0.874592217354731</v>
      </c>
      <c r="BG9" s="15" t="n">
        <f aca="false">IF(V9="",0,MIN(1,V9/20))</f>
        <v>1</v>
      </c>
      <c r="BH9" s="15" t="n">
        <f aca="false">MAX(IF(P9="",0,MIN(1,('SCORING METHOD'!$C$5-P9)/730)),IF(M9="",0,MAX(0,MIN(1,(LOG10(MAX(1,M9))-1)/2.5))))</f>
        <v>0.190848501887865</v>
      </c>
      <c r="BI9" s="15" t="n">
        <f aca="false">IF(J9="Y",0.4,0)+0.6*N(AY9)/5</f>
        <v>0.88</v>
      </c>
      <c r="BJ9" s="16" t="n">
        <f aca="false">ROUND(BD9*'SCORING METHOD'!$C$6+BE9*'SCORING METHOD'!$C$7+BF9*'SCORING METHOD'!$C$8+BG9*'SCORING METHOD'!$C$9+BH9*'SCORING METHOD'!$C$10+BI9*'SCORING METHOD'!$C$11,1)</f>
        <v>69.4</v>
      </c>
      <c r="BK9" s="15" t="n">
        <f aca="false">IF(AE9="",0,MAX(0,MIN(1,(LOG10(MAX(1,IF(X9="",AE9,MIN(AE9,X9))))-2)/4)))</f>
        <v>0.869708334694711</v>
      </c>
      <c r="BL9" s="15" t="n">
        <f aca="false">IF(AL9="",0,MAX(0,MIN(1,(LOG10(MAX(1,AL9))-3)/4)))</f>
        <v>0.874592217354731</v>
      </c>
      <c r="BM9" s="15" t="n">
        <f aca="false">IF(U9="",0,MIN(1,U9/14))</f>
        <v>1</v>
      </c>
      <c r="BN9" s="15" t="n">
        <f aca="false">IF(OR(P9="",K9="",N9="",M9="",M9=0),0,IF(AND('SCORING METHOD'!$C$5-P9&lt;=60,N9/M9&gt;=0.5),MAX(0,MIN(1,(LOG10(MAX(1,K9/MAX(1,'SCORING METHOD'!$C$5-P9)))-2)/2.5)),0))</f>
        <v>0.638995802148558</v>
      </c>
      <c r="BO9" s="15" t="n">
        <f aca="false">IF(S9="",0,MAX(0,MIN(1,1-(S9-3)/27)))</f>
        <v>1</v>
      </c>
      <c r="BP9" s="16" t="n">
        <f aca="false">ROUND(BK9*'SCORING METHOD'!$C$12+BL9*'SCORING METHOD'!$C$13+BM9*'SCORING METHOD'!$C$14+BN9*'SCORING METHOD'!$C$15+BO9*'SCORING METHOD'!$C$16,1)</f>
        <v>86.9</v>
      </c>
      <c r="BQ9" s="16" t="n">
        <f aca="false">ROUND((N(AZ9)+N(BA9)+N(BB9)+N(BC9))/20*100,1)</f>
        <v>80</v>
      </c>
      <c r="BR9" s="17" t="n">
        <f aca="false">IFERROR(INDEX('DATA SUFFICIENCY'!$J$2:$J$63,MATCH(C9,'DATA SUFFICIENCY'!$B$2:$B$63,0)),0)</f>
        <v>0.8</v>
      </c>
      <c r="BS9" s="16" t="n">
        <f aca="false">ROUND('SCORING METHOD'!$C$17*BJ9+'SCORING METHOD'!$C$18*BP9+'SCORING METHOD'!$C$19*BQ9+'SCORING METHOD'!$C$20*BR9*100,1)</f>
        <v>78.4</v>
      </c>
      <c r="BT9" s="15" t="n">
        <f aca="false">IF(F9="INCLUDED",BJ9+(1000-ROW())/100000,-1)</f>
        <v>69.40991</v>
      </c>
      <c r="BU9" s="15" t="n">
        <f aca="false">IF(F9="INCLUDED",BP9+(1000-ROW())/100000,-1)</f>
        <v>86.90991</v>
      </c>
      <c r="BV9" s="15" t="n">
        <f aca="false">IF(F9="INCLUDED",BQ9+(1000-ROW())/100000,-1)</f>
        <v>80.00991</v>
      </c>
      <c r="BW9" s="15" t="n">
        <f aca="false">IF(F9="INCLUDED",BS9+(1000-ROW())/100000,-1)</f>
        <v>78.40991</v>
      </c>
      <c r="BX9" s="2" t="s">
        <v>366</v>
      </c>
    </row>
    <row r="10" customFormat="false" ht="15" hidden="false" customHeight="false" outlineLevel="0" collapsed="false">
      <c r="A10" s="2" t="n">
        <v>9</v>
      </c>
      <c r="B10" s="2" t="s">
        <v>367</v>
      </c>
      <c r="C10" s="2" t="s">
        <v>368</v>
      </c>
      <c r="D10" s="3" t="s">
        <v>369</v>
      </c>
      <c r="E10" s="2" t="s">
        <v>350</v>
      </c>
      <c r="F10" s="2" t="s">
        <v>275</v>
      </c>
      <c r="G10" s="2"/>
      <c r="H10" s="2" t="s">
        <v>370</v>
      </c>
      <c r="I10" s="2" t="s">
        <v>371</v>
      </c>
      <c r="J10" s="2" t="s">
        <v>352</v>
      </c>
      <c r="K10" s="11" t="n">
        <v>127549</v>
      </c>
      <c r="L10" s="11"/>
      <c r="M10" s="11" t="n">
        <v>52</v>
      </c>
      <c r="N10" s="2" t="n">
        <v>32</v>
      </c>
      <c r="O10" s="2" t="s">
        <v>372</v>
      </c>
      <c r="P10" s="12" t="n">
        <v>46276</v>
      </c>
      <c r="Q10" s="2" t="s">
        <v>373</v>
      </c>
      <c r="R10" s="12" t="n">
        <v>46303</v>
      </c>
      <c r="S10" s="2" t="n">
        <f aca="false">IF(R10="","",'SCORING METHOD'!$C$5-R10)</f>
        <v>1</v>
      </c>
      <c r="T10" s="2" t="n">
        <v>5</v>
      </c>
      <c r="U10" s="2" t="n">
        <v>14</v>
      </c>
      <c r="V10" s="2" t="n">
        <v>19</v>
      </c>
      <c r="W10" s="2" t="n">
        <f aca="false">IF(U10="","",U10/2)</f>
        <v>7</v>
      </c>
      <c r="X10" s="11" t="n">
        <v>43627</v>
      </c>
      <c r="Y10" s="11" t="n">
        <v>40821</v>
      </c>
      <c r="Z10" s="11" t="n">
        <v>560</v>
      </c>
      <c r="AA10" s="11" t="n">
        <v>494</v>
      </c>
      <c r="AB10" s="2" t="n">
        <v>0</v>
      </c>
      <c r="AC10" s="13" t="n">
        <f aca="false">IF(OR(X10="",K10="",K10=0),"",(X10+N(Z10))/K10)</f>
        <v>0.346431567476029</v>
      </c>
      <c r="AD10" s="2" t="str">
        <f aca="false">IF(AC10="","UNKNOWN",IF(AC10&gt;=0.05,"Very high",IF(AC10&gt;=0.02,"High",IF(AC10&gt;=0.005,"Medium","Low"))))</f>
        <v>Very high</v>
      </c>
      <c r="AE10" s="11" t="n">
        <v>41952</v>
      </c>
      <c r="AF10" s="11" t="n">
        <v>526</v>
      </c>
      <c r="AG10" s="11" t="n">
        <v>672934</v>
      </c>
      <c r="AH10" s="2"/>
      <c r="AI10" s="2"/>
      <c r="AJ10" s="11"/>
      <c r="AK10" s="2" t="s">
        <v>374</v>
      </c>
      <c r="AL10" s="11" t="n">
        <v>119425</v>
      </c>
      <c r="AM10" s="3" t="s">
        <v>375</v>
      </c>
      <c r="AN10" s="12" t="n">
        <v>46296</v>
      </c>
      <c r="AO10" s="2" t="s">
        <v>376</v>
      </c>
      <c r="AP10" s="2" t="s">
        <v>377</v>
      </c>
      <c r="AQ10" s="2" t="s">
        <v>315</v>
      </c>
      <c r="AR10" s="2"/>
      <c r="AS10" s="2" t="s">
        <v>101</v>
      </c>
      <c r="AT10" s="2" t="s">
        <v>378</v>
      </c>
      <c r="AU10" s="2" t="s">
        <v>379</v>
      </c>
      <c r="AV10" s="2" t="s">
        <v>380</v>
      </c>
      <c r="AW10" s="2" t="s">
        <v>381</v>
      </c>
      <c r="AX10" s="2" t="s">
        <v>382</v>
      </c>
      <c r="AY10" s="14" t="n">
        <v>4</v>
      </c>
      <c r="AZ10" s="14" t="n">
        <v>4</v>
      </c>
      <c r="BA10" s="14" t="n">
        <v>4</v>
      </c>
      <c r="BB10" s="14" t="n">
        <v>5</v>
      </c>
      <c r="BC10" s="14" t="n">
        <v>5</v>
      </c>
      <c r="BD10" s="15" t="n">
        <f aca="false">IF(K10="",0,MAX(0,MIN(1,(LOG10(MAX(1,K10))-3)/4)))</f>
        <v>0.526419264509121</v>
      </c>
      <c r="BE10" s="15" t="n">
        <f aca="false">IF(X10="",0,MAX(0,MIN(1,(LOG10(MAX(1,X10))-2)/4)))</f>
        <v>0.659938837464898</v>
      </c>
      <c r="BF10" s="15" t="n">
        <f aca="false">IF(AG10="",0,MAX(0,MIN(1,(LOG10(MAX(1,AG10))-3)/4)))</f>
        <v>0.706993117897976</v>
      </c>
      <c r="BG10" s="15" t="n">
        <f aca="false">IF(V10="",0,MIN(1,V10/20))</f>
        <v>0.95</v>
      </c>
      <c r="BH10" s="15" t="n">
        <f aca="false">MAX(IF(P10="",0,MIN(1,('SCORING METHOD'!$C$5-P10)/730)),IF(M10="",0,MAX(0,MIN(1,(LOG10(MAX(1,M10))-1)/2.5))))</f>
        <v>0.28640133745392</v>
      </c>
      <c r="BI10" s="15" t="n">
        <f aca="false">IF(J10="Y",0.4,0)+0.6*N(AY10)/5</f>
        <v>0.88</v>
      </c>
      <c r="BJ10" s="16" t="n">
        <f aca="false">ROUND(BD10*'SCORING METHOD'!$C$6+BE10*'SCORING METHOD'!$C$7+BF10*'SCORING METHOD'!$C$8+BG10*'SCORING METHOD'!$C$9+BH10*'SCORING METHOD'!$C$10+BI10*'SCORING METHOD'!$C$11,1)</f>
        <v>64.3</v>
      </c>
      <c r="BK10" s="15" t="n">
        <f aca="false">IF(AE10="",0,MAX(0,MIN(1,(LOG10(MAX(1,IF(X10="",AE10,MIN(AE10,X10))))-2)/4)))</f>
        <v>0.655688167502498</v>
      </c>
      <c r="BL10" s="15" t="n">
        <f aca="false">IF(AL10="",0,MAX(0,MIN(1,(LOG10(MAX(1,AL10))-3)/4)))</f>
        <v>0.519273812488848</v>
      </c>
      <c r="BM10" s="15" t="n">
        <f aca="false">IF(U10="",0,MIN(1,U10/14))</f>
        <v>1</v>
      </c>
      <c r="BN10" s="15" t="n">
        <f aca="false">IF(OR(P10="",K10="",N10="",M10="",M10=0),0,IF(AND('SCORING METHOD'!$C$5-P10&lt;=60,N10/M10&gt;=0.5),MAX(0,MIN(1,(LOG10(MAX(1,K10/MAX(1,'SCORING METHOD'!$C$5-P10)))-2)/2.5)),0))</f>
        <v>0.663407610677706</v>
      </c>
      <c r="BO10" s="15" t="n">
        <f aca="false">IF(S10="",0,MAX(0,MIN(1,1-(S10-3)/27)))</f>
        <v>1</v>
      </c>
      <c r="BP10" s="16" t="n">
        <f aca="false">ROUND(BK10*'SCORING METHOD'!$C$12+BL10*'SCORING METHOD'!$C$13+BM10*'SCORING METHOD'!$C$14+BN10*'SCORING METHOD'!$C$15+BO10*'SCORING METHOD'!$C$16,1)</f>
        <v>70.9</v>
      </c>
      <c r="BQ10" s="16" t="n">
        <f aca="false">ROUND((N(AZ10)+N(BA10)+N(BB10)+N(BC10))/20*100,1)</f>
        <v>90</v>
      </c>
      <c r="BR10" s="17" t="n">
        <f aca="false">IFERROR(INDEX('DATA SUFFICIENCY'!$J$2:$J$63,MATCH(C10,'DATA SUFFICIENCY'!$B$2:$B$63,0)),0)</f>
        <v>0.9</v>
      </c>
      <c r="BS10" s="16" t="n">
        <f aca="false">ROUND('SCORING METHOD'!$C$17*BJ10+'SCORING METHOD'!$C$18*BP10+'SCORING METHOD'!$C$19*BQ10+'SCORING METHOD'!$C$20*BR10*100,1)</f>
        <v>75.3</v>
      </c>
      <c r="BT10" s="15" t="n">
        <f aca="false">IF(F10="INCLUDED",BJ10+(1000-ROW())/100000,-1)</f>
        <v>64.3099</v>
      </c>
      <c r="BU10" s="15" t="n">
        <f aca="false">IF(F10="INCLUDED",BP10+(1000-ROW())/100000,-1)</f>
        <v>70.9099</v>
      </c>
      <c r="BV10" s="15" t="n">
        <f aca="false">IF(F10="INCLUDED",BQ10+(1000-ROW())/100000,-1)</f>
        <v>90.0099</v>
      </c>
      <c r="BW10" s="15" t="n">
        <f aca="false">IF(F10="INCLUDED",BS10+(1000-ROW())/100000,-1)</f>
        <v>75.3099</v>
      </c>
      <c r="BX10" s="2" t="s">
        <v>383</v>
      </c>
    </row>
    <row r="11" customFormat="false" ht="15" hidden="false" customHeight="false" outlineLevel="0" collapsed="false">
      <c r="A11" s="2" t="n">
        <v>10</v>
      </c>
      <c r="B11" s="2" t="s">
        <v>384</v>
      </c>
      <c r="C11" s="2" t="s">
        <v>385</v>
      </c>
      <c r="D11" s="3" t="s">
        <v>386</v>
      </c>
      <c r="E11" s="2" t="s">
        <v>350</v>
      </c>
      <c r="F11" s="2" t="s">
        <v>275</v>
      </c>
      <c r="G11" s="2"/>
      <c r="H11" s="2" t="s">
        <v>387</v>
      </c>
      <c r="I11" s="2" t="s">
        <v>371</v>
      </c>
      <c r="J11" s="2" t="s">
        <v>278</v>
      </c>
      <c r="K11" s="11" t="n">
        <v>194460</v>
      </c>
      <c r="L11" s="11"/>
      <c r="M11" s="11" t="n">
        <v>66</v>
      </c>
      <c r="N11" s="2" t="n">
        <v>22</v>
      </c>
      <c r="O11" s="2" t="s">
        <v>388</v>
      </c>
      <c r="P11" s="12" t="n">
        <v>46283</v>
      </c>
      <c r="Q11" s="2" t="s">
        <v>389</v>
      </c>
      <c r="R11" s="12" t="n">
        <v>46302</v>
      </c>
      <c r="S11" s="2" t="n">
        <f aca="false">IF(R11="","",'SCORING METHOD'!$C$5-R11)</f>
        <v>2</v>
      </c>
      <c r="T11" s="2" t="n">
        <v>7</v>
      </c>
      <c r="U11" s="2" t="n">
        <v>13</v>
      </c>
      <c r="V11" s="2" t="n">
        <v>21</v>
      </c>
      <c r="W11" s="2" t="n">
        <f aca="false">IF(U11="","",U11/2)</f>
        <v>6.5</v>
      </c>
      <c r="X11" s="11" t="n">
        <v>135030</v>
      </c>
      <c r="Y11" s="11" t="n">
        <v>65432</v>
      </c>
      <c r="Z11" s="11" t="n">
        <v>1868</v>
      </c>
      <c r="AA11" s="11" t="n">
        <v>1167</v>
      </c>
      <c r="AB11" s="2" t="n">
        <v>0</v>
      </c>
      <c r="AC11" s="13" t="n">
        <f aca="false">IF(OR(X11="",K11="",K11=0),"",(X11+N(Z11))/K11)</f>
        <v>0.703990537899825</v>
      </c>
      <c r="AD11" s="2" t="str">
        <f aca="false">IF(AC11="","UNKNOWN",IF(AC11&gt;=0.05,"Very high",IF(AC11&gt;=0.02,"High",IF(AC11&gt;=0.005,"Medium","Low"))))</f>
        <v>Very high</v>
      </c>
      <c r="AE11" s="11" t="n">
        <v>130394</v>
      </c>
      <c r="AF11" s="11" t="n">
        <v>1779</v>
      </c>
      <c r="AG11" s="11" t="n">
        <v>527299</v>
      </c>
      <c r="AH11" s="3" t="s">
        <v>390</v>
      </c>
      <c r="AI11" s="12" t="n">
        <v>46296</v>
      </c>
      <c r="AJ11" s="11" t="n">
        <v>6875</v>
      </c>
      <c r="AK11" s="2" t="s">
        <v>391</v>
      </c>
      <c r="AL11" s="11" t="n">
        <v>527299</v>
      </c>
      <c r="AM11" s="3" t="s">
        <v>390</v>
      </c>
      <c r="AN11" s="12" t="n">
        <v>46296</v>
      </c>
      <c r="AO11" s="2" t="s">
        <v>392</v>
      </c>
      <c r="AP11" s="2" t="s">
        <v>393</v>
      </c>
      <c r="AQ11" s="2" t="s">
        <v>315</v>
      </c>
      <c r="AR11" s="2"/>
      <c r="AS11" s="2" t="s">
        <v>101</v>
      </c>
      <c r="AT11" s="2" t="s">
        <v>394</v>
      </c>
      <c r="AU11" s="2" t="s">
        <v>395</v>
      </c>
      <c r="AV11" s="2" t="s">
        <v>396</v>
      </c>
      <c r="AW11" s="2" t="s">
        <v>364</v>
      </c>
      <c r="AX11" s="2" t="s">
        <v>397</v>
      </c>
      <c r="AY11" s="14" t="n">
        <v>3</v>
      </c>
      <c r="AZ11" s="14" t="n">
        <v>4</v>
      </c>
      <c r="BA11" s="14" t="n">
        <v>3</v>
      </c>
      <c r="BB11" s="14" t="n">
        <v>4</v>
      </c>
      <c r="BC11" s="14" t="n">
        <v>4</v>
      </c>
      <c r="BD11" s="15" t="n">
        <f aca="false">IF(K11="",0,MAX(0,MIN(1,(LOG10(MAX(1,K11))-3)/4)))</f>
        <v>0.572207570353963</v>
      </c>
      <c r="BE11" s="15" t="n">
        <f aca="false">IF(X11="",0,MAX(0,MIN(1,(LOG10(MAX(1,X11))-2)/4)))</f>
        <v>0.782607566914535</v>
      </c>
      <c r="BF11" s="15" t="n">
        <f aca="false">IF(AG11="",0,MAX(0,MIN(1,(LOG10(MAX(1,AG11))-3)/4)))</f>
        <v>0.680514236927834</v>
      </c>
      <c r="BG11" s="15" t="n">
        <f aca="false">IF(V11="",0,MIN(1,V11/20))</f>
        <v>1</v>
      </c>
      <c r="BH11" s="15" t="n">
        <f aca="false">MAX(IF(P11="",0,MIN(1,('SCORING METHOD'!$C$5-P11)/730)),IF(M11="",0,MAX(0,MIN(1,(LOG10(MAX(1,M11))-1)/2.5))))</f>
        <v>0.327817574216748</v>
      </c>
      <c r="BI11" s="15" t="n">
        <f aca="false">IF(J11="Y",0.4,0)+0.6*N(AY11)/5</f>
        <v>0.36</v>
      </c>
      <c r="BJ11" s="16" t="n">
        <f aca="false">ROUND(BD11*'SCORING METHOD'!$C$6+BE11*'SCORING METHOD'!$C$7+BF11*'SCORING METHOD'!$C$8+BG11*'SCORING METHOD'!$C$9+BH11*'SCORING METHOD'!$C$10+BI11*'SCORING METHOD'!$C$11,1)</f>
        <v>63.3</v>
      </c>
      <c r="BK11" s="15" t="n">
        <f aca="false">IF(AE11="",0,MAX(0,MIN(1,(LOG10(MAX(1,IF(X11="",AE11,MIN(AE11,X11))))-2)/4)))</f>
        <v>0.778814402015306</v>
      </c>
      <c r="BL11" s="15" t="n">
        <f aca="false">IF(AL11="",0,MAX(0,MIN(1,(LOG10(MAX(1,AL11))-3)/4)))</f>
        <v>0.680514236927834</v>
      </c>
      <c r="BM11" s="15" t="n">
        <f aca="false">IF(U11="",0,MIN(1,U11/14))</f>
        <v>0.928571428571429</v>
      </c>
      <c r="BN11" s="15" t="n">
        <f aca="false">IF(OR(P11="",K11="",N11="",M11="",M11=0),0,IF(AND('SCORING METHOD'!$C$5-P11&lt;=60,N11/M11&gt;=0.5),MAX(0,MIN(1,(LOG10(MAX(1,K11/MAX(1,'SCORING METHOD'!$C$5-P11)))-2)/2.5)),0))</f>
        <v>0</v>
      </c>
      <c r="BO11" s="15" t="n">
        <f aca="false">IF(S11="",0,MAX(0,MIN(1,1-(S11-3)/27)))</f>
        <v>1</v>
      </c>
      <c r="BP11" s="16" t="n">
        <f aca="false">ROUND(BK11*'SCORING METHOD'!$C$12+BL11*'SCORING METHOD'!$C$13+BM11*'SCORING METHOD'!$C$14+BN11*'SCORING METHOD'!$C$15+BO11*'SCORING METHOD'!$C$16,1)</f>
        <v>68.2</v>
      </c>
      <c r="BQ11" s="16" t="n">
        <f aca="false">ROUND((N(AZ11)+N(BA11)+N(BB11)+N(BC11))/20*100,1)</f>
        <v>75</v>
      </c>
      <c r="BR11" s="17" t="n">
        <f aca="false">IFERROR(INDEX('DATA SUFFICIENCY'!$J$2:$J$63,MATCH(C11,'DATA SUFFICIENCY'!$B$2:$B$63,0)),0)</f>
        <v>0.8</v>
      </c>
      <c r="BS11" s="16" t="n">
        <f aca="false">ROUND('SCORING METHOD'!$C$17*BJ11+'SCORING METHOD'!$C$18*BP11+'SCORING METHOD'!$C$19*BQ11+'SCORING METHOD'!$C$20*BR11*100,1)</f>
        <v>69.6</v>
      </c>
      <c r="BT11" s="15" t="n">
        <f aca="false">IF(F11="INCLUDED",BJ11+(1000-ROW())/100000,-1)</f>
        <v>63.30989</v>
      </c>
      <c r="BU11" s="15" t="n">
        <f aca="false">IF(F11="INCLUDED",BP11+(1000-ROW())/100000,-1)</f>
        <v>68.20989</v>
      </c>
      <c r="BV11" s="15" t="n">
        <f aca="false">IF(F11="INCLUDED",BQ11+(1000-ROW())/100000,-1)</f>
        <v>75.00989</v>
      </c>
      <c r="BW11" s="15" t="n">
        <f aca="false">IF(F11="INCLUDED",BS11+(1000-ROW())/100000,-1)</f>
        <v>69.60989</v>
      </c>
      <c r="BX11" s="2" t="s">
        <v>398</v>
      </c>
    </row>
    <row r="12" customFormat="false" ht="15" hidden="false" customHeight="false" outlineLevel="0" collapsed="false">
      <c r="A12" s="2" t="n">
        <v>11</v>
      </c>
      <c r="B12" s="2" t="s">
        <v>399</v>
      </c>
      <c r="C12" s="2" t="s">
        <v>400</v>
      </c>
      <c r="D12" s="3" t="s">
        <v>401</v>
      </c>
      <c r="E12" s="2" t="s">
        <v>350</v>
      </c>
      <c r="F12" s="2" t="s">
        <v>275</v>
      </c>
      <c r="G12" s="2"/>
      <c r="H12" s="2" t="s">
        <v>402</v>
      </c>
      <c r="I12" s="2" t="s">
        <v>371</v>
      </c>
      <c r="J12" s="2" t="s">
        <v>352</v>
      </c>
      <c r="K12" s="11" t="n">
        <v>64699</v>
      </c>
      <c r="L12" s="11"/>
      <c r="M12" s="11" t="n">
        <v>65</v>
      </c>
      <c r="N12" s="2" t="n">
        <v>22</v>
      </c>
      <c r="O12" s="2" t="s">
        <v>403</v>
      </c>
      <c r="P12" s="12" t="n">
        <v>46265</v>
      </c>
      <c r="Q12" s="2" t="s">
        <v>404</v>
      </c>
      <c r="R12" s="12" t="n">
        <v>46304</v>
      </c>
      <c r="S12" s="2" t="n">
        <f aca="false">IF(R12="","",'SCORING METHOD'!$C$5-R12)</f>
        <v>0</v>
      </c>
      <c r="T12" s="2" t="n">
        <v>5</v>
      </c>
      <c r="U12" s="2" t="n">
        <v>14</v>
      </c>
      <c r="V12" s="2" t="n">
        <v>15</v>
      </c>
      <c r="W12" s="2" t="n">
        <f aca="false">IF(U12="","",U12/2)</f>
        <v>7</v>
      </c>
      <c r="X12" s="11" t="n">
        <v>30857</v>
      </c>
      <c r="Y12" s="11" t="n">
        <v>6426</v>
      </c>
      <c r="Z12" s="11" t="n">
        <v>327</v>
      </c>
      <c r="AA12" s="11" t="n">
        <v>124</v>
      </c>
      <c r="AB12" s="2" t="n">
        <v>0</v>
      </c>
      <c r="AC12" s="13" t="n">
        <f aca="false">IF(OR(X12="",K12="",K12=0),"",(X12+N(Z12))/K12)</f>
        <v>0.481985811218102</v>
      </c>
      <c r="AD12" s="2" t="str">
        <f aca="false">IF(AC12="","UNKNOWN",IF(AC12&gt;=0.05,"Very high",IF(AC12&gt;=0.02,"High",IF(AC12&gt;=0.005,"Medium","Low"))))</f>
        <v>Very high</v>
      </c>
      <c r="AE12" s="11" t="n">
        <v>28129</v>
      </c>
      <c r="AF12" s="11" t="n">
        <v>299</v>
      </c>
      <c r="AG12" s="11" t="n">
        <v>794009</v>
      </c>
      <c r="AH12" s="3" t="s">
        <v>405</v>
      </c>
      <c r="AI12" s="12" t="n">
        <v>46265</v>
      </c>
      <c r="AJ12" s="11" t="n">
        <v>8800</v>
      </c>
      <c r="AK12" s="2" t="s">
        <v>406</v>
      </c>
      <c r="AL12" s="11" t="n">
        <v>214841</v>
      </c>
      <c r="AM12" s="3" t="s">
        <v>407</v>
      </c>
      <c r="AN12" s="12" t="n">
        <v>46296</v>
      </c>
      <c r="AO12" s="2" t="s">
        <v>408</v>
      </c>
      <c r="AP12" s="2"/>
      <c r="AQ12" s="2" t="s">
        <v>315</v>
      </c>
      <c r="AR12" s="2"/>
      <c r="AS12" s="2" t="s">
        <v>101</v>
      </c>
      <c r="AT12" s="2" t="s">
        <v>409</v>
      </c>
      <c r="AU12" s="2" t="s">
        <v>410</v>
      </c>
      <c r="AV12" s="2" t="s">
        <v>411</v>
      </c>
      <c r="AW12" s="2" t="s">
        <v>364</v>
      </c>
      <c r="AX12" s="2" t="s">
        <v>412</v>
      </c>
      <c r="AY12" s="14" t="n">
        <v>3</v>
      </c>
      <c r="AZ12" s="14" t="n">
        <v>3</v>
      </c>
      <c r="BA12" s="14" t="n">
        <v>3</v>
      </c>
      <c r="BB12" s="14" t="n">
        <v>4</v>
      </c>
      <c r="BC12" s="14" t="n">
        <v>4</v>
      </c>
      <c r="BD12" s="15" t="n">
        <f aca="false">IF(K12="",0,MAX(0,MIN(1,(LOG10(MAX(1,K12))-3)/4)))</f>
        <v>0.452724392045699</v>
      </c>
      <c r="BE12" s="15" t="n">
        <f aca="false">IF(X12="",0,MAX(0,MIN(1,(LOG10(MAX(1,X12))-2)/4)))</f>
        <v>0.622338425127355</v>
      </c>
      <c r="BF12" s="15" t="n">
        <f aca="false">IF(AG12="",0,MAX(0,MIN(1,(LOG10(MAX(1,AG12))-3)/4)))</f>
        <v>0.724956356283155</v>
      </c>
      <c r="BG12" s="15" t="n">
        <f aca="false">IF(V12="",0,MIN(1,V12/20))</f>
        <v>0.75</v>
      </c>
      <c r="BH12" s="15" t="n">
        <f aca="false">MAX(IF(P12="",0,MIN(1,('SCORING METHOD'!$C$5-P12)/730)),IF(M12="",0,MAX(0,MIN(1,(LOG10(MAX(1,M12))-1)/2.5))))</f>
        <v>0.325165342657142</v>
      </c>
      <c r="BI12" s="15" t="n">
        <f aca="false">IF(J12="Y",0.4,0)+0.6*N(AY12)/5</f>
        <v>0.76</v>
      </c>
      <c r="BJ12" s="16" t="n">
        <f aca="false">ROUND(BD12*'SCORING METHOD'!$C$6+BE12*'SCORING METHOD'!$C$7+BF12*'SCORING METHOD'!$C$8+BG12*'SCORING METHOD'!$C$9+BH12*'SCORING METHOD'!$C$10+BI12*'SCORING METHOD'!$C$11,1)</f>
        <v>58.9</v>
      </c>
      <c r="BK12" s="15" t="n">
        <f aca="false">IF(AE12="",0,MAX(0,MIN(1,(LOG10(MAX(1,IF(X12="",AE12,MIN(AE12,X12))))-2)/4)))</f>
        <v>0.61228857326347</v>
      </c>
      <c r="BL12" s="15" t="n">
        <f aca="false">IF(AL12="",0,MAX(0,MIN(1,(LOG10(MAX(1,AL12))-3)/4)))</f>
        <v>0.583029291294362</v>
      </c>
      <c r="BM12" s="15" t="n">
        <f aca="false">IF(U12="",0,MIN(1,U12/14))</f>
        <v>1</v>
      </c>
      <c r="BN12" s="15" t="n">
        <f aca="false">IF(OR(P12="",K12="",N12="",M12="",M12=0),0,IF(AND('SCORING METHOD'!$C$5-P12&lt;=60,N12/M12&gt;=0.5),MAX(0,MIN(1,(LOG10(MAX(1,K12/MAX(1,'SCORING METHOD'!$C$5-P12)))-2)/2.5)),0))</f>
        <v>0</v>
      </c>
      <c r="BO12" s="15" t="n">
        <f aca="false">IF(S12="",0,MAX(0,MIN(1,1-(S12-3)/27)))</f>
        <v>1</v>
      </c>
      <c r="BP12" s="16" t="n">
        <f aca="false">ROUND(BK12*'SCORING METHOD'!$C$12+BL12*'SCORING METHOD'!$C$13+BM12*'SCORING METHOD'!$C$14+BN12*'SCORING METHOD'!$C$15+BO12*'SCORING METHOD'!$C$16,1)</f>
        <v>61</v>
      </c>
      <c r="BQ12" s="16" t="n">
        <f aca="false">ROUND((N(AZ12)+N(BA12)+N(BB12)+N(BC12))/20*100,1)</f>
        <v>70</v>
      </c>
      <c r="BR12" s="17" t="n">
        <f aca="false">IFERROR(INDEX('DATA SUFFICIENCY'!$J$2:$J$63,MATCH(C12,'DATA SUFFICIENCY'!$B$2:$B$63,0)),0)</f>
        <v>0.9</v>
      </c>
      <c r="BS12" s="16" t="n">
        <f aca="false">ROUND('SCORING METHOD'!$C$17*BJ12+'SCORING METHOD'!$C$18*BP12+'SCORING METHOD'!$C$19*BQ12+'SCORING METHOD'!$C$20*BR12*100,1)</f>
        <v>66.4</v>
      </c>
      <c r="BT12" s="15" t="n">
        <f aca="false">IF(F12="INCLUDED",BJ12+(1000-ROW())/100000,-1)</f>
        <v>58.90988</v>
      </c>
      <c r="BU12" s="15" t="n">
        <f aca="false">IF(F12="INCLUDED",BP12+(1000-ROW())/100000,-1)</f>
        <v>61.00988</v>
      </c>
      <c r="BV12" s="15" t="n">
        <f aca="false">IF(F12="INCLUDED",BQ12+(1000-ROW())/100000,-1)</f>
        <v>70.00988</v>
      </c>
      <c r="BW12" s="15" t="n">
        <f aca="false">IF(F12="INCLUDED",BS12+(1000-ROW())/100000,-1)</f>
        <v>66.40988</v>
      </c>
      <c r="BX12" s="2" t="s">
        <v>413</v>
      </c>
    </row>
    <row r="13" customFormat="false" ht="15" hidden="false" customHeight="false" outlineLevel="0" collapsed="false">
      <c r="A13" s="2" t="n">
        <v>12</v>
      </c>
      <c r="B13" s="2" t="s">
        <v>414</v>
      </c>
      <c r="C13" s="2" t="s">
        <v>415</v>
      </c>
      <c r="D13" s="3" t="s">
        <v>416</v>
      </c>
      <c r="E13" s="2" t="s">
        <v>350</v>
      </c>
      <c r="F13" s="2" t="s">
        <v>275</v>
      </c>
      <c r="G13" s="2"/>
      <c r="H13" s="2" t="s">
        <v>417</v>
      </c>
      <c r="I13" s="2" t="s">
        <v>371</v>
      </c>
      <c r="J13" s="2" t="s">
        <v>278</v>
      </c>
      <c r="K13" s="11" t="n">
        <v>12105</v>
      </c>
      <c r="L13" s="11"/>
      <c r="M13" s="11" t="n">
        <v>36</v>
      </c>
      <c r="N13" s="2" t="n">
        <v>22</v>
      </c>
      <c r="O13" s="2" t="s">
        <v>418</v>
      </c>
      <c r="P13" s="12" t="n">
        <v>46291</v>
      </c>
      <c r="Q13" s="2" t="s">
        <v>389</v>
      </c>
      <c r="R13" s="12" t="n">
        <v>46303</v>
      </c>
      <c r="S13" s="2" t="n">
        <f aca="false">IF(R13="","",'SCORING METHOD'!$C$5-R13)</f>
        <v>1</v>
      </c>
      <c r="T13" s="2" t="n">
        <v>15</v>
      </c>
      <c r="U13" s="2" t="n">
        <v>22</v>
      </c>
      <c r="V13" s="2" t="n">
        <v>22</v>
      </c>
      <c r="W13" s="2" t="n">
        <f aca="false">IF(U13="","",U13/2)</f>
        <v>11</v>
      </c>
      <c r="X13" s="11" t="n">
        <v>2483</v>
      </c>
      <c r="Y13" s="11" t="n">
        <v>1661</v>
      </c>
      <c r="Z13" s="11" t="n">
        <v>50</v>
      </c>
      <c r="AA13" s="11" t="n">
        <v>35</v>
      </c>
      <c r="AB13" s="2" t="n">
        <v>0</v>
      </c>
      <c r="AC13" s="13" t="n">
        <f aca="false">IF(OR(X13="",K13="",K13=0),"",(X13+N(Z13))/K13)</f>
        <v>0.209252375051632</v>
      </c>
      <c r="AD13" s="2" t="str">
        <f aca="false">IF(AC13="","UNKNOWN",IF(AC13&gt;=0.05,"Very high",IF(AC13&gt;=0.02,"High",IF(AC13&gt;=0.005,"Medium","Low"))))</f>
        <v>Very high</v>
      </c>
      <c r="AE13" s="11" t="n">
        <v>6048</v>
      </c>
      <c r="AF13" s="11" t="n">
        <v>114</v>
      </c>
      <c r="AG13" s="11" t="n">
        <v>37862</v>
      </c>
      <c r="AH13" s="3" t="s">
        <v>419</v>
      </c>
      <c r="AI13" s="12" t="n">
        <v>46291</v>
      </c>
      <c r="AJ13" s="11" t="n">
        <v>857</v>
      </c>
      <c r="AK13" s="2" t="s">
        <v>420</v>
      </c>
      <c r="AL13" s="11" t="n">
        <v>37862</v>
      </c>
      <c r="AM13" s="3" t="s">
        <v>419</v>
      </c>
      <c r="AN13" s="12" t="n">
        <v>46291</v>
      </c>
      <c r="AO13" s="2" t="s">
        <v>421</v>
      </c>
      <c r="AP13" s="2"/>
      <c r="AQ13" s="2" t="s">
        <v>315</v>
      </c>
      <c r="AR13" s="2"/>
      <c r="AS13" s="2" t="s">
        <v>101</v>
      </c>
      <c r="AT13" s="2" t="s">
        <v>422</v>
      </c>
      <c r="AU13" s="2" t="s">
        <v>423</v>
      </c>
      <c r="AV13" s="2" t="s">
        <v>424</v>
      </c>
      <c r="AW13" s="2" t="s">
        <v>364</v>
      </c>
      <c r="AX13" s="2" t="s">
        <v>425</v>
      </c>
      <c r="AY13" s="14" t="n">
        <v>1</v>
      </c>
      <c r="AZ13" s="14" t="n">
        <v>3</v>
      </c>
      <c r="BA13" s="14" t="n">
        <v>3</v>
      </c>
      <c r="BB13" s="14" t="n">
        <v>4</v>
      </c>
      <c r="BC13" s="14" t="n">
        <v>4</v>
      </c>
      <c r="BD13" s="15" t="n">
        <f aca="false">IF(K13="",0,MAX(0,MIN(1,(LOG10(MAX(1,K13))-3)/4)))</f>
        <v>0.270741198444438</v>
      </c>
      <c r="BE13" s="15" t="n">
        <f aca="false">IF(X13="",0,MAX(0,MIN(1,(LOG10(MAX(1,X13))-2)/4)))</f>
        <v>0.348744179888641</v>
      </c>
      <c r="BF13" s="15" t="n">
        <f aca="false">IF(AG13="",0,MAX(0,MIN(1,(LOG10(MAX(1,AG13))-3)/4)))</f>
        <v>0.394550887787442</v>
      </c>
      <c r="BG13" s="15" t="n">
        <f aca="false">IF(V13="",0,MIN(1,V13/20))</f>
        <v>1</v>
      </c>
      <c r="BH13" s="15" t="n">
        <f aca="false">MAX(IF(P13="",0,MIN(1,('SCORING METHOD'!$C$5-P13)/730)),IF(M13="",0,MAX(0,MIN(1,(LOG10(MAX(1,M13))-1)/2.5))))</f>
        <v>0.222521000306915</v>
      </c>
      <c r="BI13" s="15" t="n">
        <f aca="false">IF(J13="Y",0.4,0)+0.6*N(AY13)/5</f>
        <v>0.12</v>
      </c>
      <c r="BJ13" s="16" t="n">
        <f aca="false">ROUND(BD13*'SCORING METHOD'!$C$6+BE13*'SCORING METHOD'!$C$7+BF13*'SCORING METHOD'!$C$8+BG13*'SCORING METHOD'!$C$9+BH13*'SCORING METHOD'!$C$10+BI13*'SCORING METHOD'!$C$11,1)</f>
        <v>36.4</v>
      </c>
      <c r="BK13" s="15" t="n">
        <f aca="false">IF(AE13="",0,MAX(0,MIN(1,(LOG10(MAX(1,IF(X13="",AE13,MIN(AE13,X13))))-2)/4)))</f>
        <v>0.348744179888641</v>
      </c>
      <c r="BL13" s="15" t="n">
        <f aca="false">IF(AL13="",0,MAX(0,MIN(1,(LOG10(MAX(1,AL13))-3)/4)))</f>
        <v>0.394550887787442</v>
      </c>
      <c r="BM13" s="15" t="n">
        <f aca="false">IF(U13="",0,MIN(1,U13/14))</f>
        <v>1</v>
      </c>
      <c r="BN13" s="15" t="n">
        <f aca="false">IF(OR(P13="",K13="",N13="",M13="",M13=0),0,IF(AND('SCORING METHOD'!$C$5-P13&lt;=60,N13/M13&gt;=0.5),MAX(0,MIN(1,(LOG10(MAX(1,K13/MAX(1,'SCORING METHOD'!$C$5-P13)))-2)/2.5)),0))</f>
        <v>0.387608576588366</v>
      </c>
      <c r="BO13" s="15" t="n">
        <f aca="false">IF(S13="",0,MAX(0,MIN(1,1-(S13-3)/27)))</f>
        <v>1</v>
      </c>
      <c r="BP13" s="16" t="n">
        <f aca="false">ROUND(BK13*'SCORING METHOD'!$C$12+BL13*'SCORING METHOD'!$C$13+BM13*'SCORING METHOD'!$C$14+BN13*'SCORING METHOD'!$C$15+BO13*'SCORING METHOD'!$C$16,1)</f>
        <v>52.9</v>
      </c>
      <c r="BQ13" s="16" t="n">
        <f aca="false">ROUND((N(AZ13)+N(BA13)+N(BB13)+N(BC13))/20*100,1)</f>
        <v>70</v>
      </c>
      <c r="BR13" s="17" t="n">
        <f aca="false">IFERROR(INDEX('DATA SUFFICIENCY'!$J$2:$J$63,MATCH(C13,'DATA SUFFICIENCY'!$B$2:$B$63,0)),0)</f>
        <v>0.8</v>
      </c>
      <c r="BS13" s="16" t="n">
        <f aca="false">ROUND('SCORING METHOD'!$C$17*BJ13+'SCORING METHOD'!$C$18*BP13+'SCORING METHOD'!$C$19*BQ13+'SCORING METHOD'!$C$20*BR13*100,1)</f>
        <v>54.6</v>
      </c>
      <c r="BT13" s="15" t="n">
        <f aca="false">IF(F13="INCLUDED",BJ13+(1000-ROW())/100000,-1)</f>
        <v>36.40987</v>
      </c>
      <c r="BU13" s="15" t="n">
        <f aca="false">IF(F13="INCLUDED",BP13+(1000-ROW())/100000,-1)</f>
        <v>52.90987</v>
      </c>
      <c r="BV13" s="15" t="n">
        <f aca="false">IF(F13="INCLUDED",BQ13+(1000-ROW())/100000,-1)</f>
        <v>70.00987</v>
      </c>
      <c r="BW13" s="15" t="n">
        <f aca="false">IF(F13="INCLUDED",BS13+(1000-ROW())/100000,-1)</f>
        <v>54.60987</v>
      </c>
      <c r="BX13" s="2" t="s">
        <v>426</v>
      </c>
    </row>
    <row r="14" customFormat="false" ht="15" hidden="false" customHeight="false" outlineLevel="0" collapsed="false">
      <c r="A14" s="2" t="n">
        <v>13</v>
      </c>
      <c r="B14" s="2" t="s">
        <v>427</v>
      </c>
      <c r="C14" s="2" t="s">
        <v>428</v>
      </c>
      <c r="D14" s="3" t="s">
        <v>429</v>
      </c>
      <c r="E14" s="2" t="s">
        <v>350</v>
      </c>
      <c r="F14" s="2" t="s">
        <v>275</v>
      </c>
      <c r="G14" s="2"/>
      <c r="H14" s="2" t="s">
        <v>430</v>
      </c>
      <c r="I14" s="2" t="s">
        <v>277</v>
      </c>
      <c r="J14" s="2" t="s">
        <v>278</v>
      </c>
      <c r="K14" s="11" t="n">
        <v>124366</v>
      </c>
      <c r="L14" s="11"/>
      <c r="M14" s="11" t="n">
        <v>31</v>
      </c>
      <c r="N14" s="2" t="n">
        <v>12</v>
      </c>
      <c r="O14" s="2" t="s">
        <v>431</v>
      </c>
      <c r="P14" s="12" t="n">
        <v>46296</v>
      </c>
      <c r="Q14" s="2" t="s">
        <v>432</v>
      </c>
      <c r="R14" s="12" t="n">
        <v>46303</v>
      </c>
      <c r="S14" s="2" t="n">
        <f aca="false">IF(R14="","",'SCORING METHOD'!$C$5-R14)</f>
        <v>1</v>
      </c>
      <c r="T14" s="2" t="n">
        <v>7</v>
      </c>
      <c r="U14" s="2" t="n">
        <v>9</v>
      </c>
      <c r="V14" s="2" t="n">
        <v>9</v>
      </c>
      <c r="W14" s="2" t="n">
        <f aca="false">IF(U14="","",U14/2)</f>
        <v>4.5</v>
      </c>
      <c r="X14" s="11" t="n">
        <v>9479</v>
      </c>
      <c r="Y14" s="11" t="n">
        <v>5654</v>
      </c>
      <c r="Z14" s="11" t="n">
        <v>319</v>
      </c>
      <c r="AA14" s="11" t="n">
        <v>181</v>
      </c>
      <c r="AB14" s="2" t="n">
        <v>0</v>
      </c>
      <c r="AC14" s="13" t="n">
        <f aca="false">IF(OR(X14="",K14="",K14=0),"",(X14+N(Z14))/K14)</f>
        <v>0.0787835903703585</v>
      </c>
      <c r="AD14" s="2" t="str">
        <f aca="false">IF(AC14="","UNKNOWN",IF(AC14&gt;=0.05,"Very high",IF(AC14&gt;=0.02,"High",IF(AC14&gt;=0.005,"Medium","Low"))))</f>
        <v>Very high</v>
      </c>
      <c r="AE14" s="11" t="n">
        <v>9479</v>
      </c>
      <c r="AF14" s="11" t="n">
        <v>319</v>
      </c>
      <c r="AG14" s="11" t="n">
        <v>382660</v>
      </c>
      <c r="AH14" s="3" t="s">
        <v>433</v>
      </c>
      <c r="AI14" s="12" t="n">
        <v>46293</v>
      </c>
      <c r="AJ14" s="11" t="n">
        <v>11815</v>
      </c>
      <c r="AK14" s="2" t="s">
        <v>434</v>
      </c>
      <c r="AL14" s="11" t="n">
        <v>32315</v>
      </c>
      <c r="AM14" s="3" t="s">
        <v>435</v>
      </c>
      <c r="AN14" s="12" t="n">
        <v>46296</v>
      </c>
      <c r="AO14" s="2" t="s">
        <v>436</v>
      </c>
      <c r="AP14" s="2" t="s">
        <v>437</v>
      </c>
      <c r="AQ14" s="2" t="s">
        <v>315</v>
      </c>
      <c r="AR14" s="2"/>
      <c r="AS14" s="2" t="s">
        <v>101</v>
      </c>
      <c r="AT14" s="2" t="s">
        <v>438</v>
      </c>
      <c r="AU14" s="2" t="s">
        <v>439</v>
      </c>
      <c r="AV14" s="2" t="s">
        <v>440</v>
      </c>
      <c r="AW14" s="2" t="s">
        <v>364</v>
      </c>
      <c r="AX14" s="2" t="s">
        <v>441</v>
      </c>
      <c r="AY14" s="14" t="n">
        <v>3</v>
      </c>
      <c r="AZ14" s="14" t="n">
        <v>3</v>
      </c>
      <c r="BA14" s="14" t="n">
        <v>4</v>
      </c>
      <c r="BB14" s="14" t="n">
        <v>3</v>
      </c>
      <c r="BC14" s="14" t="n">
        <v>1</v>
      </c>
      <c r="BD14" s="15" t="n">
        <f aca="false">IF(K14="",0,MAX(0,MIN(1,(LOG10(MAX(1,K14))-3)/4)))</f>
        <v>0.523675416570581</v>
      </c>
      <c r="BE14" s="15" t="n">
        <f aca="false">IF(X14="",0,MAX(0,MIN(1,(LOG10(MAX(1,X14))-2)/4)))</f>
        <v>0.494190630816865</v>
      </c>
      <c r="BF14" s="15" t="n">
        <f aca="false">IF(AG14="",0,MAX(0,MIN(1,(LOG10(MAX(1,AG14))-3)/4)))</f>
        <v>0.645703266792607</v>
      </c>
      <c r="BG14" s="15" t="n">
        <f aca="false">IF(V14="",0,MIN(1,V14/20))</f>
        <v>0.45</v>
      </c>
      <c r="BH14" s="15" t="n">
        <f aca="false">MAX(IF(P14="",0,MIN(1,('SCORING METHOD'!$C$5-P14)/730)),IF(M14="",0,MAX(0,MIN(1,(LOG10(MAX(1,M14))-1)/2.5))))</f>
        <v>0.196544677533709</v>
      </c>
      <c r="BI14" s="15" t="n">
        <f aca="false">IF(J14="Y",0.4,0)+0.6*N(AY14)/5</f>
        <v>0.36</v>
      </c>
      <c r="BJ14" s="16" t="n">
        <f aca="false">ROUND(BD14*'SCORING METHOD'!$C$6+BE14*'SCORING METHOD'!$C$7+BF14*'SCORING METHOD'!$C$8+BG14*'SCORING METHOD'!$C$9+BH14*'SCORING METHOD'!$C$10+BI14*'SCORING METHOD'!$C$11,1)</f>
        <v>48.6</v>
      </c>
      <c r="BK14" s="15" t="n">
        <f aca="false">IF(AE14="",0,MAX(0,MIN(1,(LOG10(MAX(1,IF(X14="",AE14,MIN(AE14,X14))))-2)/4)))</f>
        <v>0.494190630816865</v>
      </c>
      <c r="BL14" s="15" t="n">
        <f aca="false">IF(AL14="",0,MAX(0,MIN(1,(LOG10(MAX(1,AL14))-3)/4)))</f>
        <v>0.377351040064673</v>
      </c>
      <c r="BM14" s="15" t="n">
        <f aca="false">IF(U14="",0,MIN(1,U14/14))</f>
        <v>0.642857142857143</v>
      </c>
      <c r="BN14" s="15" t="n">
        <f aca="false">IF(OR(P14="",K14="",N14="",M14="",M14=0),0,IF(AND('SCORING METHOD'!$C$5-P14&lt;=60,N14/M14&gt;=0.5),MAX(0,MIN(1,(LOG10(MAX(1,K14/MAX(1,'SCORING METHOD'!$C$5-P14)))-2)/2.5)),0))</f>
        <v>0</v>
      </c>
      <c r="BO14" s="15" t="n">
        <f aca="false">IF(S14="",0,MAX(0,MIN(1,1-(S14-3)/27)))</f>
        <v>1</v>
      </c>
      <c r="BP14" s="16" t="n">
        <f aca="false">ROUND(BK14*'SCORING METHOD'!$C$12+BL14*'SCORING METHOD'!$C$13+BM14*'SCORING METHOD'!$C$14+BN14*'SCORING METHOD'!$C$15+BO14*'SCORING METHOD'!$C$16,1)</f>
        <v>46.4</v>
      </c>
      <c r="BQ14" s="16" t="n">
        <f aca="false">ROUND((N(AZ14)+N(BA14)+N(BB14)+N(BC14))/20*100,1)</f>
        <v>55</v>
      </c>
      <c r="BR14" s="17" t="n">
        <f aca="false">IFERROR(INDEX('DATA SUFFICIENCY'!$J$2:$J$63,MATCH(C14,'DATA SUFFICIENCY'!$B$2:$B$63,0)),0)</f>
        <v>0.8</v>
      </c>
      <c r="BS14" s="16" t="n">
        <f aca="false">ROUND('SCORING METHOD'!$C$17*BJ14+'SCORING METHOD'!$C$18*BP14+'SCORING METHOD'!$C$19*BQ14+'SCORING METHOD'!$C$20*BR14*100,1)</f>
        <v>53.9</v>
      </c>
      <c r="BT14" s="15" t="n">
        <f aca="false">IF(F14="INCLUDED",BJ14+(1000-ROW())/100000,-1)</f>
        <v>48.60986</v>
      </c>
      <c r="BU14" s="15" t="n">
        <f aca="false">IF(F14="INCLUDED",BP14+(1000-ROW())/100000,-1)</f>
        <v>46.40986</v>
      </c>
      <c r="BV14" s="15" t="n">
        <f aca="false">IF(F14="INCLUDED",BQ14+(1000-ROW())/100000,-1)</f>
        <v>55.00986</v>
      </c>
      <c r="BW14" s="15" t="n">
        <f aca="false">IF(F14="INCLUDED",BS14+(1000-ROW())/100000,-1)</f>
        <v>53.90986</v>
      </c>
      <c r="BX14" s="2" t="s">
        <v>442</v>
      </c>
    </row>
    <row r="15" customFormat="false" ht="15" hidden="false" customHeight="false" outlineLevel="0" collapsed="false">
      <c r="A15" s="2" t="n">
        <v>14</v>
      </c>
      <c r="B15" s="2" t="s">
        <v>443</v>
      </c>
      <c r="C15" s="2" t="s">
        <v>444</v>
      </c>
      <c r="D15" s="3" t="s">
        <v>445</v>
      </c>
      <c r="E15" s="2" t="s">
        <v>350</v>
      </c>
      <c r="F15" s="2" t="s">
        <v>275</v>
      </c>
      <c r="G15" s="2"/>
      <c r="H15" s="2" t="s">
        <v>446</v>
      </c>
      <c r="I15" s="2" t="s">
        <v>447</v>
      </c>
      <c r="J15" s="2" t="s">
        <v>352</v>
      </c>
      <c r="K15" s="11" t="n">
        <v>106810</v>
      </c>
      <c r="L15" s="11"/>
      <c r="M15" s="11" t="n">
        <v>109</v>
      </c>
      <c r="N15" s="2" t="n">
        <v>22</v>
      </c>
      <c r="O15" s="2" t="s">
        <v>448</v>
      </c>
      <c r="P15" s="12" t="n">
        <v>46300</v>
      </c>
      <c r="Q15" s="2" t="s">
        <v>389</v>
      </c>
      <c r="R15" s="12" t="n">
        <v>46303</v>
      </c>
      <c r="S15" s="2" t="n">
        <f aca="false">IF(R15="","",'SCORING METHOD'!$C$5-R15)</f>
        <v>1</v>
      </c>
      <c r="T15" s="2" t="n">
        <v>22</v>
      </c>
      <c r="U15" s="2" t="n">
        <v>21</v>
      </c>
      <c r="V15" s="2" t="n">
        <v>21</v>
      </c>
      <c r="W15" s="2" t="n">
        <f aca="false">IF(U15="","",U15/2)</f>
        <v>10.5</v>
      </c>
      <c r="X15" s="11" t="n">
        <v>5091</v>
      </c>
      <c r="Y15" s="11" t="n">
        <v>3204</v>
      </c>
      <c r="Z15" s="11" t="n">
        <v>65</v>
      </c>
      <c r="AA15" s="11" t="n">
        <v>56</v>
      </c>
      <c r="AB15" s="2" t="n">
        <v>0</v>
      </c>
      <c r="AC15" s="13" t="n">
        <f aca="false">IF(OR(X15="",K15="",K15=0),"",(X15+N(Z15))/K15)</f>
        <v>0.0482726336485348</v>
      </c>
      <c r="AD15" s="2" t="str">
        <f aca="false">IF(AC15="","UNKNOWN",IF(AC15&gt;=0.05,"Very high",IF(AC15&gt;=0.02,"High",IF(AC15&gt;=0.005,"Medium","Low"))))</f>
        <v>High</v>
      </c>
      <c r="AE15" s="11" t="n">
        <v>54530</v>
      </c>
      <c r="AF15" s="11" t="n">
        <v>244</v>
      </c>
      <c r="AG15" s="11" t="n">
        <v>632105</v>
      </c>
      <c r="AH15" s="3" t="s">
        <v>449</v>
      </c>
      <c r="AI15" s="12" t="n">
        <v>46300</v>
      </c>
      <c r="AJ15" s="11" t="n">
        <v>1968</v>
      </c>
      <c r="AK15" s="2" t="s">
        <v>450</v>
      </c>
      <c r="AL15" s="11" t="n">
        <v>536920</v>
      </c>
      <c r="AM15" s="3" t="s">
        <v>451</v>
      </c>
      <c r="AN15" s="12" t="n">
        <v>46300</v>
      </c>
      <c r="AO15" s="2" t="s">
        <v>452</v>
      </c>
      <c r="AP15" s="2" t="s">
        <v>453</v>
      </c>
      <c r="AQ15" s="2" t="s">
        <v>454</v>
      </c>
      <c r="AR15" s="2"/>
      <c r="AS15" s="2" t="s">
        <v>101</v>
      </c>
      <c r="AT15" s="2" t="s">
        <v>455</v>
      </c>
      <c r="AU15" s="2" t="s">
        <v>456</v>
      </c>
      <c r="AV15" s="2" t="s">
        <v>457</v>
      </c>
      <c r="AW15" s="2" t="s">
        <v>458</v>
      </c>
      <c r="AX15" s="2" t="s">
        <v>459</v>
      </c>
      <c r="AY15" s="14" t="n">
        <v>3</v>
      </c>
      <c r="AZ15" s="14" t="n">
        <v>4</v>
      </c>
      <c r="BA15" s="14" t="n">
        <v>3</v>
      </c>
      <c r="BB15" s="14" t="n">
        <v>4</v>
      </c>
      <c r="BC15" s="14" t="n">
        <v>3</v>
      </c>
      <c r="BD15" s="15" t="n">
        <f aca="false">IF(K15="",0,MAX(0,MIN(1,(LOG10(MAX(1,K15))-3)/4)))</f>
        <v>0.507152978766557</v>
      </c>
      <c r="BE15" s="15" t="n">
        <f aca="false">IF(X15="",0,MAX(0,MIN(1,(LOG10(MAX(1,X15))-2)/4)))</f>
        <v>0.426700774259335</v>
      </c>
      <c r="BF15" s="15" t="n">
        <f aca="false">IF(AG15="",0,MAX(0,MIN(1,(LOG10(MAX(1,AG15))-3)/4)))</f>
        <v>0.700197306411169</v>
      </c>
      <c r="BG15" s="15" t="n">
        <f aca="false">IF(V15="",0,MIN(1,V15/20))</f>
        <v>1</v>
      </c>
      <c r="BH15" s="15" t="n">
        <f aca="false">MAX(IF(P15="",0,MIN(1,('SCORING METHOD'!$C$5-P15)/730)),IF(M15="",0,MAX(0,MIN(1,(LOG10(MAX(1,M15))-1)/2.5))))</f>
        <v>0.41497059917625</v>
      </c>
      <c r="BI15" s="15" t="n">
        <f aca="false">IF(J15="Y",0.4,0)+0.6*N(AY15)/5</f>
        <v>0.76</v>
      </c>
      <c r="BJ15" s="16" t="n">
        <f aca="false">ROUND(BD15*'SCORING METHOD'!$C$6+BE15*'SCORING METHOD'!$C$7+BF15*'SCORING METHOD'!$C$8+BG15*'SCORING METHOD'!$C$9+BH15*'SCORING METHOD'!$C$10+BI15*'SCORING METHOD'!$C$11,1)</f>
        <v>59.5</v>
      </c>
      <c r="BK15" s="15" t="n">
        <f aca="false">IF(AE15="",0,MAX(0,MIN(1,(LOG10(MAX(1,IF(X15="",AE15,MIN(AE15,X15))))-2)/4)))</f>
        <v>0.426700774259335</v>
      </c>
      <c r="BL15" s="15" t="n">
        <f aca="false">IF(AL15="",0,MAX(0,MIN(1,(LOG10(MAX(1,AL15))-3)/4)))</f>
        <v>0.6824773953789</v>
      </c>
      <c r="BM15" s="15" t="n">
        <f aca="false">IF(U15="",0,MIN(1,U15/14))</f>
        <v>1</v>
      </c>
      <c r="BN15" s="15" t="n">
        <f aca="false">IF(OR(P15="",K15="",N15="",M15="",M15=0),0,IF(AND('SCORING METHOD'!$C$5-P15&lt;=60,N15/M15&gt;=0.5),MAX(0,MIN(1,(LOG10(MAX(1,K15/MAX(1,'SCORING METHOD'!$C$5-P15)))-2)/2.5)),0))</f>
        <v>0</v>
      </c>
      <c r="BO15" s="15" t="n">
        <f aca="false">IF(S15="",0,MAX(0,MIN(1,1-(S15-3)/27)))</f>
        <v>1</v>
      </c>
      <c r="BP15" s="16" t="n">
        <f aca="false">ROUND(BK15*'SCORING METHOD'!$C$12+BL15*'SCORING METHOD'!$C$13+BM15*'SCORING METHOD'!$C$14+BN15*'SCORING METHOD'!$C$15+BO15*'SCORING METHOD'!$C$16,1)</f>
        <v>57</v>
      </c>
      <c r="BQ15" s="16" t="n">
        <f aca="false">ROUND((N(AZ15)+N(BA15)+N(BB15)+N(BC15))/20*100,1)</f>
        <v>70</v>
      </c>
      <c r="BR15" s="17" t="n">
        <f aca="false">IFERROR(INDEX('DATA SUFFICIENCY'!$J$2:$J$63,MATCH(C15,'DATA SUFFICIENCY'!$B$2:$B$63,0)),0)</f>
        <v>0.9</v>
      </c>
      <c r="BS15" s="16" t="n">
        <f aca="false">ROUND('SCORING METHOD'!$C$17*BJ15+'SCORING METHOD'!$C$18*BP15+'SCORING METHOD'!$C$19*BQ15+'SCORING METHOD'!$C$20*BR15*100,1)</f>
        <v>65.4</v>
      </c>
      <c r="BT15" s="15" t="n">
        <f aca="false">IF(F15="INCLUDED",BJ15+(1000-ROW())/100000,-1)</f>
        <v>59.50985</v>
      </c>
      <c r="BU15" s="15" t="n">
        <f aca="false">IF(F15="INCLUDED",BP15+(1000-ROW())/100000,-1)</f>
        <v>57.00985</v>
      </c>
      <c r="BV15" s="15" t="n">
        <f aca="false">IF(F15="INCLUDED",BQ15+(1000-ROW())/100000,-1)</f>
        <v>70.00985</v>
      </c>
      <c r="BW15" s="15" t="n">
        <f aca="false">IF(F15="INCLUDED",BS15+(1000-ROW())/100000,-1)</f>
        <v>65.40985</v>
      </c>
      <c r="BX15" s="2" t="s">
        <v>460</v>
      </c>
    </row>
    <row r="16" customFormat="false" ht="15" hidden="false" customHeight="false" outlineLevel="0" collapsed="false">
      <c r="A16" s="2" t="n">
        <v>15</v>
      </c>
      <c r="B16" s="2" t="s">
        <v>461</v>
      </c>
      <c r="C16" s="2" t="s">
        <v>462</v>
      </c>
      <c r="D16" s="3" t="s">
        <v>463</v>
      </c>
      <c r="E16" s="2" t="s">
        <v>350</v>
      </c>
      <c r="F16" s="2" t="s">
        <v>275</v>
      </c>
      <c r="G16" s="2"/>
      <c r="H16" s="2" t="s">
        <v>464</v>
      </c>
      <c r="I16" s="2" t="s">
        <v>465</v>
      </c>
      <c r="J16" s="2" t="s">
        <v>278</v>
      </c>
      <c r="K16" s="11" t="n">
        <v>189326</v>
      </c>
      <c r="L16" s="11"/>
      <c r="M16" s="11" t="n">
        <v>175</v>
      </c>
      <c r="N16" s="2" t="n">
        <v>12</v>
      </c>
      <c r="O16" s="2" t="s">
        <v>466</v>
      </c>
      <c r="P16" s="12" t="n">
        <v>46299</v>
      </c>
      <c r="Q16" s="2" t="s">
        <v>432</v>
      </c>
      <c r="R16" s="12" t="n">
        <v>46303</v>
      </c>
      <c r="S16" s="2" t="n">
        <f aca="false">IF(R16="","",'SCORING METHOD'!$C$5-R16)</f>
        <v>1</v>
      </c>
      <c r="T16" s="2" t="n">
        <v>12</v>
      </c>
      <c r="U16" s="2" t="n">
        <v>12</v>
      </c>
      <c r="V16" s="2" t="n">
        <v>12</v>
      </c>
      <c r="W16" s="2" t="n">
        <f aca="false">IF(U16="","",U16/2)</f>
        <v>6</v>
      </c>
      <c r="X16" s="11" t="n">
        <v>11231</v>
      </c>
      <c r="Y16" s="11" t="n">
        <v>5310</v>
      </c>
      <c r="Z16" s="11" t="n">
        <v>121</v>
      </c>
      <c r="AA16" s="11" t="n">
        <v>72</v>
      </c>
      <c r="AB16" s="2" t="n">
        <v>0</v>
      </c>
      <c r="AC16" s="13" t="n">
        <f aca="false">IF(OR(X16="",K16="",K16=0),"",(X16+N(Z16))/K16)</f>
        <v>0.0599600688759072</v>
      </c>
      <c r="AD16" s="2" t="str">
        <f aca="false">IF(AC16="","UNKNOWN",IF(AC16&gt;=0.05,"Very high",IF(AC16&gt;=0.02,"High",IF(AC16&gt;=0.005,"Medium","Low"))))</f>
        <v>Very high</v>
      </c>
      <c r="AE16" s="11" t="n">
        <v>11231</v>
      </c>
      <c r="AF16" s="11" t="n">
        <v>121</v>
      </c>
      <c r="AG16" s="11" t="n">
        <v>46360</v>
      </c>
      <c r="AH16" s="3" t="s">
        <v>467</v>
      </c>
      <c r="AI16" s="12" t="n">
        <v>46301</v>
      </c>
      <c r="AJ16" s="11" t="n">
        <v>524</v>
      </c>
      <c r="AK16" s="2" t="s">
        <v>468</v>
      </c>
      <c r="AL16" s="11" t="n">
        <v>46360</v>
      </c>
      <c r="AM16" s="3" t="s">
        <v>467</v>
      </c>
      <c r="AN16" s="12" t="n">
        <v>46301</v>
      </c>
      <c r="AO16" s="2" t="s">
        <v>469</v>
      </c>
      <c r="AP16" s="2"/>
      <c r="AQ16" s="2" t="s">
        <v>315</v>
      </c>
      <c r="AR16" s="2"/>
      <c r="AS16" s="2" t="s">
        <v>101</v>
      </c>
      <c r="AT16" s="2" t="s">
        <v>470</v>
      </c>
      <c r="AU16" s="2" t="s">
        <v>471</v>
      </c>
      <c r="AV16" s="2" t="s">
        <v>472</v>
      </c>
      <c r="AW16" s="2" t="s">
        <v>473</v>
      </c>
      <c r="AX16" s="2" t="s">
        <v>474</v>
      </c>
      <c r="AY16" s="14" t="n">
        <v>3</v>
      </c>
      <c r="AZ16" s="14" t="n">
        <v>3</v>
      </c>
      <c r="BA16" s="14" t="n">
        <v>3</v>
      </c>
      <c r="BB16" s="14" t="n">
        <v>4</v>
      </c>
      <c r="BC16" s="14" t="n">
        <v>4</v>
      </c>
      <c r="BD16" s="15" t="n">
        <f aca="false">IF(K16="",0,MAX(0,MIN(1,(LOG10(MAX(1,K16))-3)/4)))</f>
        <v>0.56930256485011</v>
      </c>
      <c r="BE16" s="15" t="n">
        <f aca="false">IF(X16="",0,MAX(0,MIN(1,(LOG10(MAX(1,X16))-2)/4)))</f>
        <v>0.512604606811284</v>
      </c>
      <c r="BF16" s="15" t="n">
        <f aca="false">IF(AG16="",0,MAX(0,MIN(1,(LOG10(MAX(1,AG16))-3)/4)))</f>
        <v>0.41653585682289</v>
      </c>
      <c r="BG16" s="15" t="n">
        <f aca="false">IF(V16="",0,MIN(1,V16/20))</f>
        <v>0.6</v>
      </c>
      <c r="BH16" s="15" t="n">
        <f aca="false">MAX(IF(P16="",0,MIN(1,('SCORING METHOD'!$C$5-P16)/730)),IF(M16="",0,MAX(0,MIN(1,(LOG10(MAX(1,M16))-1)/2.5))))</f>
        <v>0.497215219474518</v>
      </c>
      <c r="BI16" s="15" t="n">
        <f aca="false">IF(J16="Y",0.4,0)+0.6*N(AY16)/5</f>
        <v>0.36</v>
      </c>
      <c r="BJ16" s="16" t="n">
        <f aca="false">ROUND(BD16*'SCORING METHOD'!$C$6+BE16*'SCORING METHOD'!$C$7+BF16*'SCORING METHOD'!$C$8+BG16*'SCORING METHOD'!$C$9+BH16*'SCORING METHOD'!$C$10+BI16*'SCORING METHOD'!$C$11,1)</f>
        <v>50.2</v>
      </c>
      <c r="BK16" s="15" t="n">
        <f aca="false">IF(AE16="",0,MAX(0,MIN(1,(LOG10(MAX(1,IF(X16="",AE16,MIN(AE16,X16))))-2)/4)))</f>
        <v>0.512604606811284</v>
      </c>
      <c r="BL16" s="15" t="n">
        <f aca="false">IF(AL16="",0,MAX(0,MIN(1,(LOG10(MAX(1,AL16))-3)/4)))</f>
        <v>0.41653585682289</v>
      </c>
      <c r="BM16" s="15" t="n">
        <f aca="false">IF(U16="",0,MIN(1,U16/14))</f>
        <v>0.857142857142857</v>
      </c>
      <c r="BN16" s="15" t="n">
        <f aca="false">IF(OR(P16="",K16="",N16="",M16="",M16=0),0,IF(AND('SCORING METHOD'!$C$5-P16&lt;=60,N16/M16&gt;=0.5),MAX(0,MIN(1,(LOG10(MAX(1,K16/MAX(1,'SCORING METHOD'!$C$5-P16)))-2)/2.5)),0))</f>
        <v>0</v>
      </c>
      <c r="BO16" s="15" t="n">
        <f aca="false">IF(S16="",0,MAX(0,MIN(1,1-(S16-3)/27)))</f>
        <v>1</v>
      </c>
      <c r="BP16" s="16" t="n">
        <f aca="false">ROUND(BK16*'SCORING METHOD'!$C$12+BL16*'SCORING METHOD'!$C$13+BM16*'SCORING METHOD'!$C$14+BN16*'SCORING METHOD'!$C$15+BO16*'SCORING METHOD'!$C$16,1)</f>
        <v>51.2</v>
      </c>
      <c r="BQ16" s="16" t="n">
        <f aca="false">ROUND((N(AZ16)+N(BA16)+N(BB16)+N(BC16))/20*100,1)</f>
        <v>70</v>
      </c>
      <c r="BR16" s="17" t="n">
        <f aca="false">IFERROR(INDEX('DATA SUFFICIENCY'!$J$2:$J$63,MATCH(C16,'DATA SUFFICIENCY'!$B$2:$B$63,0)),0)</f>
        <v>0.6</v>
      </c>
      <c r="BS16" s="16" t="n">
        <f aca="false">ROUND('SCORING METHOD'!$C$17*BJ16+'SCORING METHOD'!$C$18*BP16+'SCORING METHOD'!$C$19*BQ16+'SCORING METHOD'!$C$20*BR16*100,1)</f>
        <v>55.9</v>
      </c>
      <c r="BT16" s="15" t="n">
        <f aca="false">IF(F16="INCLUDED",BJ16+(1000-ROW())/100000,-1)</f>
        <v>50.20984</v>
      </c>
      <c r="BU16" s="15" t="n">
        <f aca="false">IF(F16="INCLUDED",BP16+(1000-ROW())/100000,-1)</f>
        <v>51.20984</v>
      </c>
      <c r="BV16" s="15" t="n">
        <f aca="false">IF(F16="INCLUDED",BQ16+(1000-ROW())/100000,-1)</f>
        <v>70.00984</v>
      </c>
      <c r="BW16" s="15" t="n">
        <f aca="false">IF(F16="INCLUDED",BS16+(1000-ROW())/100000,-1)</f>
        <v>55.90984</v>
      </c>
      <c r="BX16" s="2" t="s">
        <v>475</v>
      </c>
    </row>
    <row r="17" customFormat="false" ht="15" hidden="false" customHeight="false" outlineLevel="0" collapsed="false">
      <c r="A17" s="2" t="n">
        <v>16</v>
      </c>
      <c r="B17" s="2" t="s">
        <v>476</v>
      </c>
      <c r="C17" s="2" t="s">
        <v>477</v>
      </c>
      <c r="D17" s="3" t="s">
        <v>478</v>
      </c>
      <c r="E17" s="2" t="s">
        <v>350</v>
      </c>
      <c r="F17" s="2" t="s">
        <v>275</v>
      </c>
      <c r="G17" s="2"/>
      <c r="H17" s="2" t="s">
        <v>479</v>
      </c>
      <c r="I17" s="2" t="s">
        <v>465</v>
      </c>
      <c r="J17" s="2" t="s">
        <v>278</v>
      </c>
      <c r="K17" s="11" t="n">
        <v>19058</v>
      </c>
      <c r="L17" s="11"/>
      <c r="M17" s="11" t="n">
        <v>13</v>
      </c>
      <c r="N17" s="2" t="n">
        <v>13</v>
      </c>
      <c r="O17" s="2" t="s">
        <v>480</v>
      </c>
      <c r="P17" s="12" t="n">
        <v>46298</v>
      </c>
      <c r="Q17" s="2" t="s">
        <v>280</v>
      </c>
      <c r="R17" s="12" t="n">
        <v>46303</v>
      </c>
      <c r="S17" s="2" t="n">
        <f aca="false">IF(R17="","",'SCORING METHOD'!$C$5-R17)</f>
        <v>1</v>
      </c>
      <c r="T17" s="2" t="n">
        <v>13</v>
      </c>
      <c r="U17" s="2" t="n">
        <v>13</v>
      </c>
      <c r="V17" s="2" t="n">
        <v>13</v>
      </c>
      <c r="W17" s="2" t="n">
        <f aca="false">IF(U17="","",U17/2)</f>
        <v>6.5</v>
      </c>
      <c r="X17" s="11" t="n">
        <v>11306</v>
      </c>
      <c r="Y17" s="11" t="n">
        <v>2902</v>
      </c>
      <c r="Z17" s="11" t="n">
        <v>122</v>
      </c>
      <c r="AA17" s="11" t="n">
        <v>47</v>
      </c>
      <c r="AB17" s="2" t="n">
        <v>0</v>
      </c>
      <c r="AC17" s="13" t="n">
        <f aca="false">IF(OR(X17="",K17="",K17=0),"",(X17+N(Z17))/K17)</f>
        <v>0.59964319445902</v>
      </c>
      <c r="AD17" s="2" t="str">
        <f aca="false">IF(AC17="","UNKNOWN",IF(AC17&gt;=0.05,"Very high",IF(AC17&gt;=0.02,"High",IF(AC17&gt;=0.005,"Medium","Low"))))</f>
        <v>Very high</v>
      </c>
      <c r="AE17" s="11" t="n">
        <v>15158</v>
      </c>
      <c r="AF17" s="11" t="n">
        <v>157</v>
      </c>
      <c r="AG17" s="11" t="n">
        <v>61373</v>
      </c>
      <c r="AH17" s="3" t="s">
        <v>481</v>
      </c>
      <c r="AI17" s="12" t="n">
        <v>46298</v>
      </c>
      <c r="AJ17" s="11" t="n">
        <v>582</v>
      </c>
      <c r="AK17" s="2" t="s">
        <v>482</v>
      </c>
      <c r="AL17" s="11" t="n">
        <v>61373</v>
      </c>
      <c r="AM17" s="3" t="s">
        <v>481</v>
      </c>
      <c r="AN17" s="12" t="n">
        <v>46298</v>
      </c>
      <c r="AO17" s="2" t="s">
        <v>483</v>
      </c>
      <c r="AP17" s="2"/>
      <c r="AQ17" s="2" t="s">
        <v>315</v>
      </c>
      <c r="AR17" s="2"/>
      <c r="AS17" s="2" t="s">
        <v>101</v>
      </c>
      <c r="AT17" s="2" t="s">
        <v>484</v>
      </c>
      <c r="AU17" s="2" t="s">
        <v>485</v>
      </c>
      <c r="AV17" s="2" t="s">
        <v>486</v>
      </c>
      <c r="AW17" s="2" t="s">
        <v>364</v>
      </c>
      <c r="AX17" s="2" t="s">
        <v>487</v>
      </c>
      <c r="AY17" s="14" t="n">
        <v>2</v>
      </c>
      <c r="AZ17" s="14" t="n">
        <v>3</v>
      </c>
      <c r="BA17" s="14" t="n">
        <v>3</v>
      </c>
      <c r="BB17" s="14" t="n">
        <v>3</v>
      </c>
      <c r="BC17" s="14" t="n">
        <v>4</v>
      </c>
      <c r="BD17" s="15" t="n">
        <f aca="false">IF(K17="",0,MAX(0,MIN(1,(LOG10(MAX(1,K17))-3)/4)))</f>
        <v>0.320019330652986</v>
      </c>
      <c r="BE17" s="15" t="n">
        <f aca="false">IF(X17="",0,MAX(0,MIN(1,(LOG10(MAX(1,X17))-2)/4)))</f>
        <v>0.513327245281025</v>
      </c>
      <c r="BF17" s="15" t="n">
        <f aca="false">IF(AG17="",0,MAX(0,MIN(1,(LOG10(MAX(1,AG17))-3)/4)))</f>
        <v>0.446994338184523</v>
      </c>
      <c r="BG17" s="15" t="n">
        <f aca="false">IF(V17="",0,MIN(1,V17/20))</f>
        <v>0.65</v>
      </c>
      <c r="BH17" s="15" t="n">
        <f aca="false">MAX(IF(P17="",0,MIN(1,('SCORING METHOD'!$C$5-P17)/730)),IF(M17="",0,MAX(0,MIN(1,(LOG10(MAX(1,M17))-1)/2.5))))</f>
        <v>0.0455773409227347</v>
      </c>
      <c r="BI17" s="15" t="n">
        <f aca="false">IF(J17="Y",0.4,0)+0.6*N(AY17)/5</f>
        <v>0.24</v>
      </c>
      <c r="BJ17" s="16" t="n">
        <f aca="false">ROUND(BD17*'SCORING METHOD'!$C$6+BE17*'SCORING METHOD'!$C$7+BF17*'SCORING METHOD'!$C$8+BG17*'SCORING METHOD'!$C$9+BH17*'SCORING METHOD'!$C$10+BI17*'SCORING METHOD'!$C$11,1)</f>
        <v>38.2</v>
      </c>
      <c r="BK17" s="15" t="n">
        <f aca="false">IF(AE17="",0,MAX(0,MIN(1,(LOG10(MAX(1,IF(X17="",AE17,MIN(AE17,X17))))-2)/4)))</f>
        <v>0.513327245281025</v>
      </c>
      <c r="BL17" s="15" t="n">
        <f aca="false">IF(AL17="",0,MAX(0,MIN(1,(LOG10(MAX(1,AL17))-3)/4)))</f>
        <v>0.446994338184523</v>
      </c>
      <c r="BM17" s="15" t="n">
        <f aca="false">IF(U17="",0,MIN(1,U17/14))</f>
        <v>0.928571428571429</v>
      </c>
      <c r="BN17" s="15" t="n">
        <f aca="false">IF(OR(P17="",K17="",N17="",M17="",M17=0),0,IF(AND('SCORING METHOD'!$C$5-P17&lt;=60,N17/M17&gt;=0.5),MAX(0,MIN(1,(LOG10(MAX(1,K17/MAX(1,'SCORING METHOD'!$C$5-P17)))-2)/2.5)),0))</f>
        <v>0.600770428891321</v>
      </c>
      <c r="BO17" s="15" t="n">
        <f aca="false">IF(S17="",0,MAX(0,MIN(1,1-(S17-3)/27)))</f>
        <v>1</v>
      </c>
      <c r="BP17" s="16" t="n">
        <f aca="false">ROUND(BK17*'SCORING METHOD'!$C$12+BL17*'SCORING METHOD'!$C$13+BM17*'SCORING METHOD'!$C$14+BN17*'SCORING METHOD'!$C$15+BO17*'SCORING METHOD'!$C$16,1)</f>
        <v>62.1</v>
      </c>
      <c r="BQ17" s="16" t="n">
        <f aca="false">ROUND((N(AZ17)+N(BA17)+N(BB17)+N(BC17))/20*100,1)</f>
        <v>65</v>
      </c>
      <c r="BR17" s="17" t="n">
        <f aca="false">IFERROR(INDEX('DATA SUFFICIENCY'!$J$2:$J$63,MATCH(C17,'DATA SUFFICIENCY'!$B$2:$B$63,0)),0)</f>
        <v>0.9</v>
      </c>
      <c r="BS17" s="16" t="n">
        <f aca="false">ROUND('SCORING METHOD'!$C$17*BJ17+'SCORING METHOD'!$C$18*BP17+'SCORING METHOD'!$C$19*BQ17+'SCORING METHOD'!$C$20*BR17*100,1)</f>
        <v>58.5</v>
      </c>
      <c r="BT17" s="15" t="n">
        <f aca="false">IF(F17="INCLUDED",BJ17+(1000-ROW())/100000,-1)</f>
        <v>38.20983</v>
      </c>
      <c r="BU17" s="15" t="n">
        <f aca="false">IF(F17="INCLUDED",BP17+(1000-ROW())/100000,-1)</f>
        <v>62.10983</v>
      </c>
      <c r="BV17" s="15" t="n">
        <f aca="false">IF(F17="INCLUDED",BQ17+(1000-ROW())/100000,-1)</f>
        <v>65.00983</v>
      </c>
      <c r="BW17" s="15" t="n">
        <f aca="false">IF(F17="INCLUDED",BS17+(1000-ROW())/100000,-1)</f>
        <v>58.50983</v>
      </c>
      <c r="BX17" s="2" t="s">
        <v>488</v>
      </c>
    </row>
    <row r="18" customFormat="false" ht="15" hidden="false" customHeight="false" outlineLevel="0" collapsed="false">
      <c r="A18" s="2" t="n">
        <v>17</v>
      </c>
      <c r="B18" s="2" t="s">
        <v>489</v>
      </c>
      <c r="C18" s="2" t="s">
        <v>490</v>
      </c>
      <c r="D18" s="3" t="s">
        <v>491</v>
      </c>
      <c r="E18" s="2" t="s">
        <v>350</v>
      </c>
      <c r="F18" s="2" t="s">
        <v>275</v>
      </c>
      <c r="G18" s="2"/>
      <c r="H18" s="2" t="s">
        <v>492</v>
      </c>
      <c r="I18" s="2" t="s">
        <v>277</v>
      </c>
      <c r="J18" s="2" t="s">
        <v>278</v>
      </c>
      <c r="K18" s="11" t="n">
        <v>67414</v>
      </c>
      <c r="L18" s="11"/>
      <c r="M18" s="11" t="n">
        <v>13</v>
      </c>
      <c r="N18" s="2" t="n">
        <v>12</v>
      </c>
      <c r="O18" s="2" t="s">
        <v>493</v>
      </c>
      <c r="P18" s="12" t="n">
        <v>46293</v>
      </c>
      <c r="Q18" s="2" t="s">
        <v>432</v>
      </c>
      <c r="R18" s="12" t="n">
        <v>46303</v>
      </c>
      <c r="S18" s="2" t="n">
        <f aca="false">IF(R18="","",'SCORING METHOD'!$C$5-R18)</f>
        <v>1</v>
      </c>
      <c r="T18" s="2" t="n">
        <v>4</v>
      </c>
      <c r="U18" s="2" t="n">
        <v>9</v>
      </c>
      <c r="V18" s="2" t="n">
        <v>9</v>
      </c>
      <c r="W18" s="2" t="n">
        <f aca="false">IF(U18="","",U18/2)</f>
        <v>4.5</v>
      </c>
      <c r="X18" s="11" t="n">
        <v>9859</v>
      </c>
      <c r="Y18" s="11" t="n">
        <v>2031</v>
      </c>
      <c r="Z18" s="11" t="n">
        <v>275</v>
      </c>
      <c r="AA18" s="11" t="n">
        <v>47</v>
      </c>
      <c r="AB18" s="2" t="n">
        <v>0</v>
      </c>
      <c r="AC18" s="13" t="n">
        <f aca="false">IF(OR(X18="",K18="",K18=0),"",(X18+N(Z18))/K18)</f>
        <v>0.150324858338031</v>
      </c>
      <c r="AD18" s="2" t="str">
        <f aca="false">IF(AC18="","UNKNOWN",IF(AC18&gt;=0.05,"Very high",IF(AC18&gt;=0.02,"High",IF(AC18&gt;=0.005,"Medium","Low"))))</f>
        <v>Very high</v>
      </c>
      <c r="AE18" s="11" t="n">
        <v>9859</v>
      </c>
      <c r="AF18" s="11" t="n">
        <v>275</v>
      </c>
      <c r="AG18" s="11" t="n">
        <v>161812</v>
      </c>
      <c r="AH18" s="3" t="s">
        <v>494</v>
      </c>
      <c r="AI18" s="12" t="n">
        <v>46295</v>
      </c>
      <c r="AJ18" s="11" t="n">
        <v>18552</v>
      </c>
      <c r="AK18" s="2" t="s">
        <v>495</v>
      </c>
      <c r="AL18" s="11" t="n">
        <v>72070</v>
      </c>
      <c r="AM18" s="3" t="s">
        <v>496</v>
      </c>
      <c r="AN18" s="12" t="n">
        <v>46296</v>
      </c>
      <c r="AO18" s="2" t="s">
        <v>497</v>
      </c>
      <c r="AP18" s="2"/>
      <c r="AQ18" s="2" t="s">
        <v>315</v>
      </c>
      <c r="AR18" s="2"/>
      <c r="AS18" s="2" t="s">
        <v>101</v>
      </c>
      <c r="AT18" s="2" t="s">
        <v>498</v>
      </c>
      <c r="AU18" s="2" t="s">
        <v>499</v>
      </c>
      <c r="AV18" s="2" t="s">
        <v>500</v>
      </c>
      <c r="AW18" s="2" t="s">
        <v>364</v>
      </c>
      <c r="AX18" s="2" t="s">
        <v>501</v>
      </c>
      <c r="AY18" s="14" t="n">
        <v>2</v>
      </c>
      <c r="AZ18" s="14" t="n">
        <v>3</v>
      </c>
      <c r="BA18" s="14" t="n">
        <v>3</v>
      </c>
      <c r="BB18" s="14" t="n">
        <v>2</v>
      </c>
      <c r="BC18" s="14" t="n">
        <v>1</v>
      </c>
      <c r="BD18" s="15" t="n">
        <f aca="false">IF(K18="",0,MAX(0,MIN(1,(LOG10(MAX(1,K18))-3)/4)))</f>
        <v>0.457187524175994</v>
      </c>
      <c r="BE18" s="15" t="n">
        <f aca="false">IF(X18="",0,MAX(0,MIN(1,(LOG10(MAX(1,X18))-2)/4)))</f>
        <v>0.498458216653497</v>
      </c>
      <c r="BF18" s="15" t="n">
        <f aca="false">IF(AG18="",0,MAX(0,MIN(1,(LOG10(MAX(1,AG18))-3)/4)))</f>
        <v>0.552252681452151</v>
      </c>
      <c r="BG18" s="15" t="n">
        <f aca="false">IF(V18="",0,MIN(1,V18/20))</f>
        <v>0.45</v>
      </c>
      <c r="BH18" s="15" t="n">
        <f aca="false">MAX(IF(P18="",0,MIN(1,('SCORING METHOD'!$C$5-P18)/730)),IF(M18="",0,MAX(0,MIN(1,(LOG10(MAX(1,M18))-1)/2.5))))</f>
        <v>0.0455773409227347</v>
      </c>
      <c r="BI18" s="15" t="n">
        <f aca="false">IF(J18="Y",0.4,0)+0.6*N(AY18)/5</f>
        <v>0.24</v>
      </c>
      <c r="BJ18" s="16" t="n">
        <f aca="false">ROUND(BD18*'SCORING METHOD'!$C$6+BE18*'SCORING METHOD'!$C$7+BF18*'SCORING METHOD'!$C$8+BG18*'SCORING METHOD'!$C$9+BH18*'SCORING METHOD'!$C$10+BI18*'SCORING METHOD'!$C$11,1)</f>
        <v>42.1</v>
      </c>
      <c r="BK18" s="15" t="n">
        <f aca="false">IF(AE18="",0,MAX(0,MIN(1,(LOG10(MAX(1,IF(X18="",AE18,MIN(AE18,X18))))-2)/4)))</f>
        <v>0.498458216653497</v>
      </c>
      <c r="BL18" s="15" t="n">
        <f aca="false">IF(AL18="",0,MAX(0,MIN(1,(LOG10(MAX(1,AL18))-3)/4)))</f>
        <v>0.46443863051486</v>
      </c>
      <c r="BM18" s="15" t="n">
        <f aca="false">IF(U18="",0,MIN(1,U18/14))</f>
        <v>0.642857142857143</v>
      </c>
      <c r="BN18" s="15" t="n">
        <f aca="false">IF(OR(P18="",K18="",N18="",M18="",M18=0),0,IF(AND('SCORING METHOD'!$C$5-P18&lt;=60,N18/M18&gt;=0.5),MAX(0,MIN(1,(LOG10(MAX(1,K18/MAX(1,'SCORING METHOD'!$C$5-P18)))-2)/2.5)),0))</f>
        <v>0.7149429646183</v>
      </c>
      <c r="BO18" s="15" t="n">
        <f aca="false">IF(S18="",0,MAX(0,MIN(1,1-(S18-3)/27)))</f>
        <v>1</v>
      </c>
      <c r="BP18" s="16" t="n">
        <f aca="false">ROUND(BK18*'SCORING METHOD'!$C$12+BL18*'SCORING METHOD'!$C$13+BM18*'SCORING METHOD'!$C$14+BN18*'SCORING METHOD'!$C$15+BO18*'SCORING METHOD'!$C$16,1)</f>
        <v>59.4</v>
      </c>
      <c r="BQ18" s="16" t="n">
        <f aca="false">ROUND((N(AZ18)+N(BA18)+N(BB18)+N(BC18))/20*100,1)</f>
        <v>45</v>
      </c>
      <c r="BR18" s="17" t="n">
        <f aca="false">IFERROR(INDEX('DATA SUFFICIENCY'!$J$2:$J$63,MATCH(C18,'DATA SUFFICIENCY'!$B$2:$B$63,0)),0)</f>
        <v>0.7</v>
      </c>
      <c r="BS18" s="16" t="n">
        <f aca="false">ROUND('SCORING METHOD'!$C$17*BJ18+'SCORING METHOD'!$C$18*BP18+'SCORING METHOD'!$C$19*BQ18+'SCORING METHOD'!$C$20*BR18*100,1)</f>
        <v>52.1</v>
      </c>
      <c r="BT18" s="15" t="n">
        <f aca="false">IF(F18="INCLUDED",BJ18+(1000-ROW())/100000,-1)</f>
        <v>42.10982</v>
      </c>
      <c r="BU18" s="15" t="n">
        <f aca="false">IF(F18="INCLUDED",BP18+(1000-ROW())/100000,-1)</f>
        <v>59.40982</v>
      </c>
      <c r="BV18" s="15" t="n">
        <f aca="false">IF(F18="INCLUDED",BQ18+(1000-ROW())/100000,-1)</f>
        <v>45.00982</v>
      </c>
      <c r="BW18" s="15" t="n">
        <f aca="false">IF(F18="INCLUDED",BS18+(1000-ROW())/100000,-1)</f>
        <v>52.10982</v>
      </c>
      <c r="BX18" s="2" t="s">
        <v>502</v>
      </c>
    </row>
    <row r="19" customFormat="false" ht="15" hidden="false" customHeight="false" outlineLevel="0" collapsed="false">
      <c r="A19" s="2" t="n">
        <v>18</v>
      </c>
      <c r="B19" s="2" t="s">
        <v>503</v>
      </c>
      <c r="C19" s="2" t="s">
        <v>504</v>
      </c>
      <c r="D19" s="3" t="s">
        <v>505</v>
      </c>
      <c r="E19" s="2" t="s">
        <v>350</v>
      </c>
      <c r="F19" s="2" t="s">
        <v>275</v>
      </c>
      <c r="G19" s="2"/>
      <c r="H19" s="2" t="s">
        <v>506</v>
      </c>
      <c r="I19" s="2" t="s">
        <v>277</v>
      </c>
      <c r="J19" s="2" t="s">
        <v>278</v>
      </c>
      <c r="K19" s="11" t="n">
        <v>115505</v>
      </c>
      <c r="L19" s="11"/>
      <c r="M19" s="11" t="n">
        <v>19</v>
      </c>
      <c r="N19" s="2" t="n">
        <v>19</v>
      </c>
      <c r="O19" s="2" t="s">
        <v>507</v>
      </c>
      <c r="P19" s="12" t="n">
        <v>46294</v>
      </c>
      <c r="Q19" s="2" t="s">
        <v>280</v>
      </c>
      <c r="R19" s="12" t="n">
        <v>46303</v>
      </c>
      <c r="S19" s="2" t="n">
        <f aca="false">IF(R19="","",'SCORING METHOD'!$C$5-R19)</f>
        <v>1</v>
      </c>
      <c r="T19" s="2" t="n">
        <v>13</v>
      </c>
      <c r="U19" s="2" t="n">
        <v>17</v>
      </c>
      <c r="V19" s="2" t="n">
        <v>17</v>
      </c>
      <c r="W19" s="2" t="n">
        <f aca="false">IF(U19="","",U19/2)</f>
        <v>8.5</v>
      </c>
      <c r="X19" s="11" t="n">
        <v>4059</v>
      </c>
      <c r="Y19" s="11" t="n">
        <v>2640</v>
      </c>
      <c r="Z19" s="11" t="n">
        <v>111</v>
      </c>
      <c r="AA19" s="11" t="n">
        <v>77</v>
      </c>
      <c r="AB19" s="2" t="n">
        <v>0</v>
      </c>
      <c r="AC19" s="13" t="n">
        <f aca="false">IF(OR(X19="",K19="",K19=0),"",(X19+N(Z19))/K19)</f>
        <v>0.0361023332323276</v>
      </c>
      <c r="AD19" s="2" t="str">
        <f aca="false">IF(AC19="","UNKNOWN",IF(AC19&gt;=0.05,"Very high",IF(AC19&gt;=0.02,"High",IF(AC19&gt;=0.005,"Medium","Low"))))</f>
        <v>High</v>
      </c>
      <c r="AE19" s="11" t="n">
        <v>13776</v>
      </c>
      <c r="AF19" s="11" t="n">
        <v>417</v>
      </c>
      <c r="AG19" s="11" t="n">
        <v>697221</v>
      </c>
      <c r="AH19" s="3" t="s">
        <v>508</v>
      </c>
      <c r="AI19" s="12" t="n">
        <v>46296</v>
      </c>
      <c r="AJ19" s="11" t="n">
        <v>54226</v>
      </c>
      <c r="AK19" s="2" t="s">
        <v>509</v>
      </c>
      <c r="AL19" s="11" t="n">
        <v>86926</v>
      </c>
      <c r="AM19" s="3" t="s">
        <v>510</v>
      </c>
      <c r="AN19" s="12" t="n">
        <v>46295</v>
      </c>
      <c r="AO19" s="2" t="s">
        <v>511</v>
      </c>
      <c r="AP19" s="2"/>
      <c r="AQ19" s="2" t="s">
        <v>315</v>
      </c>
      <c r="AR19" s="2"/>
      <c r="AS19" s="2" t="s">
        <v>101</v>
      </c>
      <c r="AT19" s="2" t="s">
        <v>512</v>
      </c>
      <c r="AU19" s="2" t="s">
        <v>513</v>
      </c>
      <c r="AV19" s="2" t="s">
        <v>514</v>
      </c>
      <c r="AW19" s="2" t="s">
        <v>364</v>
      </c>
      <c r="AX19" s="2" t="s">
        <v>515</v>
      </c>
      <c r="AY19" s="14" t="n">
        <v>2</v>
      </c>
      <c r="AZ19" s="14" t="n">
        <v>3</v>
      </c>
      <c r="BA19" s="14" t="n">
        <v>3</v>
      </c>
      <c r="BB19" s="14" t="n">
        <v>2</v>
      </c>
      <c r="BC19" s="14" t="n">
        <v>2</v>
      </c>
      <c r="BD19" s="15" t="n">
        <f aca="false">IF(K19="",0,MAX(0,MIN(1,(LOG10(MAX(1,K19))-3)/4)))</f>
        <v>0.515650196112039</v>
      </c>
      <c r="BE19" s="15" t="n">
        <f aca="false">IF(X19="",0,MAX(0,MIN(1,(LOG10(MAX(1,X19))-2)/4)))</f>
        <v>0.402104762829321</v>
      </c>
      <c r="BF19" s="15" t="n">
        <f aca="false">IF(AG19="",0,MAX(0,MIN(1,(LOG10(MAX(1,AG19))-3)/4)))</f>
        <v>0.710842614850012</v>
      </c>
      <c r="BG19" s="15" t="n">
        <f aca="false">IF(V19="",0,MIN(1,V19/20))</f>
        <v>0.85</v>
      </c>
      <c r="BH19" s="15" t="n">
        <f aca="false">MAX(IF(P19="",0,MIN(1,('SCORING METHOD'!$C$5-P19)/730)),IF(M19="",0,MAX(0,MIN(1,(LOG10(MAX(1,M19))-1)/2.5))))</f>
        <v>0.111501440381132</v>
      </c>
      <c r="BI19" s="15" t="n">
        <f aca="false">IF(J19="Y",0.4,0)+0.6*N(AY19)/5</f>
        <v>0.24</v>
      </c>
      <c r="BJ19" s="16" t="n">
        <f aca="false">ROUND(BD19*'SCORING METHOD'!$C$6+BE19*'SCORING METHOD'!$C$7+BF19*'SCORING METHOD'!$C$8+BG19*'SCORING METHOD'!$C$9+BH19*'SCORING METHOD'!$C$10+BI19*'SCORING METHOD'!$C$11,1)</f>
        <v>49.7</v>
      </c>
      <c r="BK19" s="15" t="n">
        <f aca="false">IF(AE19="",0,MAX(0,MIN(1,(LOG10(MAX(1,IF(X19="",AE19,MIN(AE19,X19))))-2)/4)))</f>
        <v>0.402104762829321</v>
      </c>
      <c r="BL19" s="15" t="n">
        <f aca="false">IF(AL19="",0,MAX(0,MIN(1,(LOG10(MAX(1,AL19))-3)/4)))</f>
        <v>0.484787423881055</v>
      </c>
      <c r="BM19" s="15" t="n">
        <f aca="false">IF(U19="",0,MIN(1,U19/14))</f>
        <v>1</v>
      </c>
      <c r="BN19" s="15" t="n">
        <f aca="false">IF(OR(P19="",K19="",N19="",M19="",M19=0),0,IF(AND('SCORING METHOD'!$C$5-P19&lt;=60,N19/M19&gt;=0.5),MAX(0,MIN(1,(LOG10(MAX(1,K19/MAX(1,'SCORING METHOD'!$C$5-P19)))-2)/2.5)),0))</f>
        <v>0.825040313779263</v>
      </c>
      <c r="BO19" s="15" t="n">
        <f aca="false">IF(S19="",0,MAX(0,MIN(1,1-(S19-3)/27)))</f>
        <v>1</v>
      </c>
      <c r="BP19" s="16" t="n">
        <f aca="false">ROUND(BK19*'SCORING METHOD'!$C$12+BL19*'SCORING METHOD'!$C$13+BM19*'SCORING METHOD'!$C$14+BN19*'SCORING METHOD'!$C$15+BO19*'SCORING METHOD'!$C$16,1)</f>
        <v>63.6</v>
      </c>
      <c r="BQ19" s="16" t="n">
        <f aca="false">ROUND((N(AZ19)+N(BA19)+N(BB19)+N(BC19))/20*100,1)</f>
        <v>50</v>
      </c>
      <c r="BR19" s="17" t="n">
        <f aca="false">IFERROR(INDEX('DATA SUFFICIENCY'!$J$2:$J$63,MATCH(C19,'DATA SUFFICIENCY'!$B$2:$B$63,0)),0)</f>
        <v>0.8</v>
      </c>
      <c r="BS19" s="16" t="n">
        <f aca="false">ROUND('SCORING METHOD'!$C$17*BJ19+'SCORING METHOD'!$C$18*BP19+'SCORING METHOD'!$C$19*BQ19+'SCORING METHOD'!$C$20*BR19*100,1)</f>
        <v>58.5</v>
      </c>
      <c r="BT19" s="15" t="n">
        <f aca="false">IF(F19="INCLUDED",BJ19+(1000-ROW())/100000,-1)</f>
        <v>49.70981</v>
      </c>
      <c r="BU19" s="15" t="n">
        <f aca="false">IF(F19="INCLUDED",BP19+(1000-ROW())/100000,-1)</f>
        <v>63.60981</v>
      </c>
      <c r="BV19" s="15" t="n">
        <f aca="false">IF(F19="INCLUDED",BQ19+(1000-ROW())/100000,-1)</f>
        <v>50.00981</v>
      </c>
      <c r="BW19" s="15" t="n">
        <f aca="false">IF(F19="INCLUDED",BS19+(1000-ROW())/100000,-1)</f>
        <v>58.50981</v>
      </c>
      <c r="BX19" s="2" t="s">
        <v>516</v>
      </c>
    </row>
    <row r="20" customFormat="false" ht="15" hidden="false" customHeight="false" outlineLevel="0" collapsed="false">
      <c r="A20" s="2" t="n">
        <v>19</v>
      </c>
      <c r="B20" s="2" t="s">
        <v>517</v>
      </c>
      <c r="C20" s="2" t="s">
        <v>518</v>
      </c>
      <c r="D20" s="3" t="s">
        <v>519</v>
      </c>
      <c r="E20" s="2" t="s">
        <v>350</v>
      </c>
      <c r="F20" s="2" t="s">
        <v>275</v>
      </c>
      <c r="G20" s="2"/>
      <c r="H20" s="2" t="s">
        <v>520</v>
      </c>
      <c r="I20" s="2" t="s">
        <v>277</v>
      </c>
      <c r="J20" s="2" t="s">
        <v>278</v>
      </c>
      <c r="K20" s="11" t="n">
        <v>9054</v>
      </c>
      <c r="L20" s="11"/>
      <c r="M20" s="11" t="n">
        <v>49</v>
      </c>
      <c r="N20" s="2" t="n">
        <v>32</v>
      </c>
      <c r="O20" s="2" t="s">
        <v>521</v>
      </c>
      <c r="P20" s="12" t="n">
        <v>46288</v>
      </c>
      <c r="Q20" s="2" t="s">
        <v>373</v>
      </c>
      <c r="R20" s="12" t="n">
        <v>46304</v>
      </c>
      <c r="S20" s="2" t="n">
        <f aca="false">IF(R20="","",'SCORING METHOD'!$C$5-R20)</f>
        <v>0</v>
      </c>
      <c r="T20" s="2" t="n">
        <v>14</v>
      </c>
      <c r="U20" s="2" t="n">
        <v>28</v>
      </c>
      <c r="V20" s="2" t="n">
        <v>32</v>
      </c>
      <c r="W20" s="2" t="n">
        <f aca="false">IF(U20="","",U20/2)</f>
        <v>14</v>
      </c>
      <c r="X20" s="11" t="n">
        <v>2287</v>
      </c>
      <c r="Y20" s="11" t="n">
        <v>198</v>
      </c>
      <c r="Z20" s="11" t="n">
        <v>23</v>
      </c>
      <c r="AA20" s="11" t="n">
        <v>5</v>
      </c>
      <c r="AB20" s="2" t="n">
        <v>0</v>
      </c>
      <c r="AC20" s="13" t="n">
        <f aca="false">IF(OR(X20="",K20="",K20=0),"",(X20+N(Z20))/K20)</f>
        <v>0.255135851557323</v>
      </c>
      <c r="AD20" s="2" t="str">
        <f aca="false">IF(AC20="","UNKNOWN",IF(AC20&gt;=0.05,"Very high",IF(AC20&gt;=0.02,"High",IF(AC20&gt;=0.005,"Medium","Low"))))</f>
        <v>Very high</v>
      </c>
      <c r="AE20" s="11" t="n">
        <v>2016</v>
      </c>
      <c r="AF20" s="11" t="n">
        <v>20</v>
      </c>
      <c r="AG20" s="11" t="n">
        <v>40302</v>
      </c>
      <c r="AH20" s="3" t="s">
        <v>522</v>
      </c>
      <c r="AI20" s="12" t="n">
        <v>46293</v>
      </c>
      <c r="AJ20" s="11" t="n">
        <v>539</v>
      </c>
      <c r="AK20" s="2" t="s">
        <v>523</v>
      </c>
      <c r="AL20" s="11" t="n">
        <v>22642</v>
      </c>
      <c r="AM20" s="3" t="s">
        <v>524</v>
      </c>
      <c r="AN20" s="12" t="n">
        <v>46297</v>
      </c>
      <c r="AO20" s="2" t="s">
        <v>525</v>
      </c>
      <c r="AP20" s="2" t="s">
        <v>526</v>
      </c>
      <c r="AQ20" s="2" t="s">
        <v>527</v>
      </c>
      <c r="AR20" s="2"/>
      <c r="AS20" s="2" t="s">
        <v>101</v>
      </c>
      <c r="AT20" s="2" t="s">
        <v>528</v>
      </c>
      <c r="AU20" s="2" t="s">
        <v>529</v>
      </c>
      <c r="AV20" s="2" t="s">
        <v>101</v>
      </c>
      <c r="AW20" s="2" t="s">
        <v>364</v>
      </c>
      <c r="AX20" s="2" t="s">
        <v>530</v>
      </c>
      <c r="AY20" s="14" t="n">
        <v>1</v>
      </c>
      <c r="AZ20" s="14" t="n">
        <v>3</v>
      </c>
      <c r="BA20" s="14" t="n">
        <v>3</v>
      </c>
      <c r="BB20" s="14" t="n">
        <v>3</v>
      </c>
      <c r="BC20" s="14" t="n">
        <v>3</v>
      </c>
      <c r="BD20" s="15" t="n">
        <f aca="false">IF(K20="",0,MAX(0,MIN(1,(LOG10(MAX(1,K20))-3)/4)))</f>
        <v>0.239210122539808</v>
      </c>
      <c r="BE20" s="15" t="n">
        <f aca="false">IF(X20="",0,MAX(0,MIN(1,(LOG10(MAX(1,X20))-2)/4)))</f>
        <v>0.339816541151687</v>
      </c>
      <c r="BF20" s="15" t="n">
        <f aca="false">IF(AG20="",0,MAX(0,MIN(1,(LOG10(MAX(1,AG20))-3)/4)))</f>
        <v>0.401331649670584</v>
      </c>
      <c r="BG20" s="15" t="n">
        <f aca="false">IF(V20="",0,MIN(1,V20/20))</f>
        <v>1</v>
      </c>
      <c r="BH20" s="15" t="n">
        <f aca="false">MAX(IF(P20="",0,MIN(1,('SCORING METHOD'!$C$5-P20)/730)),IF(M20="",0,MAX(0,MIN(1,(LOG10(MAX(1,M20))-1)/2.5))))</f>
        <v>0.276078432011406</v>
      </c>
      <c r="BI20" s="15" t="n">
        <f aca="false">IF(J20="Y",0.4,0)+0.6*N(AY20)/5</f>
        <v>0.12</v>
      </c>
      <c r="BJ20" s="16" t="n">
        <f aca="false">ROUND(BD20*'SCORING METHOD'!$C$6+BE20*'SCORING METHOD'!$C$7+BF20*'SCORING METHOD'!$C$8+BG20*'SCORING METHOD'!$C$9+BH20*'SCORING METHOD'!$C$10+BI20*'SCORING METHOD'!$C$11,1)</f>
        <v>36</v>
      </c>
      <c r="BK20" s="15" t="n">
        <f aca="false">IF(AE20="",0,MAX(0,MIN(1,(LOG10(MAX(1,IF(X20="",AE20,MIN(AE20,X20))))-2)/4)))</f>
        <v>0.326122631943372</v>
      </c>
      <c r="BL20" s="15" t="n">
        <f aca="false">IF(AL20="",0,MAX(0,MIN(1,(LOG10(MAX(1,AL20))-3)/4)))</f>
        <v>0.338728696514668</v>
      </c>
      <c r="BM20" s="15" t="n">
        <f aca="false">IF(U20="",0,MIN(1,U20/14))</f>
        <v>1</v>
      </c>
      <c r="BN20" s="15" t="n">
        <f aca="false">IF(OR(P20="",K20="",N20="",M20="",M20=0),0,IF(AND('SCORING METHOD'!$C$5-P20&lt;=60,N20/M20&gt;=0.5),MAX(0,MIN(1,(LOG10(MAX(1,K20/MAX(1,'SCORING METHOD'!$C$5-P20)))-2)/2.5)),0))</f>
        <v>0.301088203001324</v>
      </c>
      <c r="BO20" s="15" t="n">
        <f aca="false">IF(S20="",0,MAX(0,MIN(1,1-(S20-3)/27)))</f>
        <v>1</v>
      </c>
      <c r="BP20" s="16" t="n">
        <f aca="false">ROUND(BK20*'SCORING METHOD'!$C$12+BL20*'SCORING METHOD'!$C$13+BM20*'SCORING METHOD'!$C$14+BN20*'SCORING METHOD'!$C$15+BO20*'SCORING METHOD'!$C$16,1)</f>
        <v>49.4</v>
      </c>
      <c r="BQ20" s="16" t="n">
        <f aca="false">ROUND((N(AZ20)+N(BA20)+N(BB20)+N(BC20))/20*100,1)</f>
        <v>60</v>
      </c>
      <c r="BR20" s="17" t="n">
        <f aca="false">IFERROR(INDEX('DATA SUFFICIENCY'!$J$2:$J$63,MATCH(C20,'DATA SUFFICIENCY'!$B$2:$B$63,0)),0)</f>
        <v>0.9</v>
      </c>
      <c r="BS20" s="16" t="n">
        <f aca="false">ROUND('SCORING METHOD'!$C$17*BJ20+'SCORING METHOD'!$C$18*BP20+'SCORING METHOD'!$C$19*BQ20+'SCORING METHOD'!$C$20*BR20*100,1)</f>
        <v>52.9</v>
      </c>
      <c r="BT20" s="15" t="n">
        <f aca="false">IF(F20="INCLUDED",BJ20+(1000-ROW())/100000,-1)</f>
        <v>36.0098</v>
      </c>
      <c r="BU20" s="15" t="n">
        <f aca="false">IF(F20="INCLUDED",BP20+(1000-ROW())/100000,-1)</f>
        <v>49.4098</v>
      </c>
      <c r="BV20" s="15" t="n">
        <f aca="false">IF(F20="INCLUDED",BQ20+(1000-ROW())/100000,-1)</f>
        <v>60.0098</v>
      </c>
      <c r="BW20" s="15" t="n">
        <f aca="false">IF(F20="INCLUDED",BS20+(1000-ROW())/100000,-1)</f>
        <v>52.9098</v>
      </c>
      <c r="BX20" s="2" t="s">
        <v>531</v>
      </c>
    </row>
    <row r="21" customFormat="false" ht="15" hidden="false" customHeight="false" outlineLevel="0" collapsed="false">
      <c r="A21" s="2" t="n">
        <v>20</v>
      </c>
      <c r="B21" s="2" t="s">
        <v>532</v>
      </c>
      <c r="C21" s="2" t="s">
        <v>533</v>
      </c>
      <c r="D21" s="3" t="s">
        <v>534</v>
      </c>
      <c r="E21" s="2" t="s">
        <v>350</v>
      </c>
      <c r="F21" s="2" t="s">
        <v>275</v>
      </c>
      <c r="G21" s="2"/>
      <c r="H21" s="2" t="s">
        <v>535</v>
      </c>
      <c r="I21" s="2" t="s">
        <v>277</v>
      </c>
      <c r="J21" s="2" t="s">
        <v>278</v>
      </c>
      <c r="K21" s="11" t="n">
        <v>14689</v>
      </c>
      <c r="L21" s="11"/>
      <c r="M21" s="11" t="n">
        <v>20</v>
      </c>
      <c r="N21" s="2" t="n">
        <v>12</v>
      </c>
      <c r="O21" s="2" t="s">
        <v>536</v>
      </c>
      <c r="P21" s="12" t="n">
        <v>46294</v>
      </c>
      <c r="Q21" s="2" t="s">
        <v>432</v>
      </c>
      <c r="R21" s="12" t="n">
        <v>46303</v>
      </c>
      <c r="S21" s="2" t="n">
        <f aca="false">IF(R21="","",'SCORING METHOD'!$C$5-R21)</f>
        <v>1</v>
      </c>
      <c r="T21" s="2" t="n">
        <v>8</v>
      </c>
      <c r="U21" s="2" t="n">
        <v>12</v>
      </c>
      <c r="V21" s="2" t="n">
        <v>12</v>
      </c>
      <c r="W21" s="2" t="n">
        <f aca="false">IF(U21="","",U21/2)</f>
        <v>6</v>
      </c>
      <c r="X21" s="11" t="n">
        <v>8532</v>
      </c>
      <c r="Y21" s="11" t="n">
        <v>490</v>
      </c>
      <c r="Z21" s="11" t="n">
        <v>100</v>
      </c>
      <c r="AA21" s="11" t="n">
        <v>12</v>
      </c>
      <c r="AB21" s="2" t="n">
        <v>0</v>
      </c>
      <c r="AC21" s="13" t="n">
        <f aca="false">IF(OR(X21="",K21="",K21=0),"",(X21+N(Z21))/K21)</f>
        <v>0.587650622915107</v>
      </c>
      <c r="AD21" s="2" t="str">
        <f aca="false">IF(AC21="","UNKNOWN",IF(AC21&gt;=0.05,"Very high",IF(AC21&gt;=0.02,"High",IF(AC21&gt;=0.005,"Medium","Low"))))</f>
        <v>Very high</v>
      </c>
      <c r="AE21" s="11" t="n">
        <v>8532</v>
      </c>
      <c r="AF21" s="11" t="n">
        <v>100</v>
      </c>
      <c r="AG21" s="11" t="n">
        <v>89487</v>
      </c>
      <c r="AH21" s="3" t="s">
        <v>537</v>
      </c>
      <c r="AI21" s="12" t="n">
        <v>46296</v>
      </c>
      <c r="AJ21" s="11" t="n">
        <v>1048</v>
      </c>
      <c r="AK21" s="2" t="s">
        <v>538</v>
      </c>
      <c r="AL21" s="11" t="n">
        <v>89487</v>
      </c>
      <c r="AM21" s="3" t="s">
        <v>537</v>
      </c>
      <c r="AN21" s="12" t="n">
        <v>46296</v>
      </c>
      <c r="AO21" s="2" t="s">
        <v>539</v>
      </c>
      <c r="AP21" s="2"/>
      <c r="AQ21" s="2" t="s">
        <v>540</v>
      </c>
      <c r="AR21" s="2"/>
      <c r="AS21" s="2" t="s">
        <v>101</v>
      </c>
      <c r="AT21" s="2" t="s">
        <v>541</v>
      </c>
      <c r="AU21" s="2" t="s">
        <v>542</v>
      </c>
      <c r="AV21" s="2" t="s">
        <v>101</v>
      </c>
      <c r="AW21" s="2" t="s">
        <v>364</v>
      </c>
      <c r="AX21" s="2"/>
      <c r="AY21" s="14" t="n">
        <v>1</v>
      </c>
      <c r="AZ21" s="14" t="n">
        <v>2</v>
      </c>
      <c r="BA21" s="14" t="n">
        <v>3</v>
      </c>
      <c r="BB21" s="14" t="n">
        <v>2</v>
      </c>
      <c r="BC21" s="14" t="n">
        <v>1</v>
      </c>
      <c r="BD21" s="15" t="n">
        <f aca="false">IF(K21="",0,MAX(0,MIN(1,(LOG10(MAX(1,K21))-3)/4)))</f>
        <v>0.291748057707528</v>
      </c>
      <c r="BE21" s="15" t="n">
        <f aca="false">IF(X21="",0,MAX(0,MIN(1,(LOG10(MAX(1,X21))-2)/4)))</f>
        <v>0.482762711694348</v>
      </c>
      <c r="BF21" s="15" t="n">
        <f aca="false">IF(AG21="",0,MAX(0,MIN(1,(LOG10(MAX(1,AG21))-3)/4)))</f>
        <v>0.487939987213512</v>
      </c>
      <c r="BG21" s="15" t="n">
        <f aca="false">IF(V21="",0,MIN(1,V21/20))</f>
        <v>0.6</v>
      </c>
      <c r="BH21" s="15" t="n">
        <f aca="false">MAX(IF(P21="",0,MIN(1,('SCORING METHOD'!$C$5-P21)/730)),IF(M21="",0,MAX(0,MIN(1,(LOG10(MAX(1,M21))-1)/2.5))))</f>
        <v>0.120411998265593</v>
      </c>
      <c r="BI21" s="15" t="n">
        <f aca="false">IF(J21="Y",0.4,0)+0.6*N(AY21)/5</f>
        <v>0.12</v>
      </c>
      <c r="BJ21" s="16" t="n">
        <f aca="false">ROUND(BD21*'SCORING METHOD'!$C$6+BE21*'SCORING METHOD'!$C$7+BF21*'SCORING METHOD'!$C$8+BG21*'SCORING METHOD'!$C$9+BH21*'SCORING METHOD'!$C$10+BI21*'SCORING METHOD'!$C$11,1)</f>
        <v>36.6</v>
      </c>
      <c r="BK21" s="15" t="n">
        <f aca="false">IF(AE21="",0,MAX(0,MIN(1,(LOG10(MAX(1,IF(X21="",AE21,MIN(AE21,X21))))-2)/4)))</f>
        <v>0.482762711694348</v>
      </c>
      <c r="BL21" s="15" t="n">
        <f aca="false">IF(AL21="",0,MAX(0,MIN(1,(LOG10(MAX(1,AL21))-3)/4)))</f>
        <v>0.487939987213512</v>
      </c>
      <c r="BM21" s="15" t="n">
        <f aca="false">IF(U21="",0,MIN(1,U21/14))</f>
        <v>0.857142857142857</v>
      </c>
      <c r="BN21" s="15" t="n">
        <f aca="false">IF(OR(P21="",K21="",N21="",M21="",M21=0),0,IF(AND('SCORING METHOD'!$C$5-P21&lt;=60,N21/M21&gt;=0.5),MAX(0,MIN(1,(LOG10(MAX(1,K21/MAX(1,'SCORING METHOD'!$C$5-P21)))-2)/2.5)),0))</f>
        <v>0.466796892332044</v>
      </c>
      <c r="BO21" s="15" t="n">
        <f aca="false">IF(S21="",0,MAX(0,MIN(1,1-(S21-3)/27)))</f>
        <v>1</v>
      </c>
      <c r="BP21" s="16" t="n">
        <f aca="false">ROUND(BK21*'SCORING METHOD'!$C$12+BL21*'SCORING METHOD'!$C$13+BM21*'SCORING METHOD'!$C$14+BN21*'SCORING METHOD'!$C$15+BO21*'SCORING METHOD'!$C$16,1)</f>
        <v>59</v>
      </c>
      <c r="BQ21" s="16" t="n">
        <f aca="false">ROUND((N(AZ21)+N(BA21)+N(BB21)+N(BC21))/20*100,1)</f>
        <v>40</v>
      </c>
      <c r="BR21" s="17" t="n">
        <f aca="false">IFERROR(INDEX('DATA SUFFICIENCY'!$J$2:$J$63,MATCH(C21,'DATA SUFFICIENCY'!$B$2:$B$63,0)),0)</f>
        <v>0.6</v>
      </c>
      <c r="BS21" s="16" t="n">
        <f aca="false">ROUND('SCORING METHOD'!$C$17*BJ21+'SCORING METHOD'!$C$18*BP21+'SCORING METHOD'!$C$19*BQ21+'SCORING METHOD'!$C$20*BR21*100,1)</f>
        <v>47.5</v>
      </c>
      <c r="BT21" s="15" t="n">
        <f aca="false">IF(F21="INCLUDED",BJ21+(1000-ROW())/100000,-1)</f>
        <v>36.60979</v>
      </c>
      <c r="BU21" s="15" t="n">
        <f aca="false">IF(F21="INCLUDED",BP21+(1000-ROW())/100000,-1)</f>
        <v>59.00979</v>
      </c>
      <c r="BV21" s="15" t="n">
        <f aca="false">IF(F21="INCLUDED",BQ21+(1000-ROW())/100000,-1)</f>
        <v>40.00979</v>
      </c>
      <c r="BW21" s="15" t="n">
        <f aca="false">IF(F21="INCLUDED",BS21+(1000-ROW())/100000,-1)</f>
        <v>47.50979</v>
      </c>
      <c r="BX21" s="2" t="s">
        <v>543</v>
      </c>
    </row>
    <row r="22" customFormat="false" ht="15" hidden="false" customHeight="false" outlineLevel="0" collapsed="false">
      <c r="A22" s="2" t="n">
        <v>21</v>
      </c>
      <c r="B22" s="2" t="s">
        <v>544</v>
      </c>
      <c r="C22" s="2" t="s">
        <v>545</v>
      </c>
      <c r="D22" s="3" t="s">
        <v>546</v>
      </c>
      <c r="E22" s="2" t="s">
        <v>350</v>
      </c>
      <c r="F22" s="2" t="s">
        <v>275</v>
      </c>
      <c r="G22" s="2"/>
      <c r="H22" s="2" t="s">
        <v>547</v>
      </c>
      <c r="I22" s="2" t="s">
        <v>277</v>
      </c>
      <c r="J22" s="2" t="s">
        <v>278</v>
      </c>
      <c r="K22" s="11" t="n">
        <v>36296</v>
      </c>
      <c r="L22" s="11"/>
      <c r="M22" s="11" t="n">
        <v>11</v>
      </c>
      <c r="N22" s="2" t="n">
        <v>11</v>
      </c>
      <c r="O22" s="2" t="s">
        <v>548</v>
      </c>
      <c r="P22" s="12" t="n">
        <v>46295</v>
      </c>
      <c r="Q22" s="2" t="s">
        <v>280</v>
      </c>
      <c r="R22" s="12" t="n">
        <v>46304</v>
      </c>
      <c r="S22" s="2" t="n">
        <f aca="false">IF(R22="","",'SCORING METHOD'!$C$5-R22)</f>
        <v>0</v>
      </c>
      <c r="T22" s="2" t="n">
        <v>5</v>
      </c>
      <c r="U22" s="2" t="n">
        <v>11</v>
      </c>
      <c r="V22" s="2" t="n">
        <v>11</v>
      </c>
      <c r="W22" s="2" t="n">
        <f aca="false">IF(U22="","",U22/2)</f>
        <v>5.5</v>
      </c>
      <c r="X22" s="11" t="n">
        <v>23737</v>
      </c>
      <c r="Y22" s="11" t="n">
        <v>8035</v>
      </c>
      <c r="Z22" s="11" t="n">
        <v>324</v>
      </c>
      <c r="AA22" s="11" t="n">
        <v>53</v>
      </c>
      <c r="AB22" s="2" t="n">
        <v>0</v>
      </c>
      <c r="AC22" s="13" t="n">
        <f aca="false">IF(OR(X22="",K22="",K22=0),"",(X22+N(Z22))/K22)</f>
        <v>0.662910513555213</v>
      </c>
      <c r="AD22" s="2" t="str">
        <f aca="false">IF(AC22="","UNKNOWN",IF(AC22&gt;=0.05,"Very high",IF(AC22&gt;=0.02,"High",IF(AC22&gt;=0.005,"Medium","Low"))))</f>
        <v>Very high</v>
      </c>
      <c r="AE22" s="11" t="n">
        <v>23737</v>
      </c>
      <c r="AF22" s="11" t="n">
        <v>324</v>
      </c>
      <c r="AG22" s="11" t="n">
        <v>194063</v>
      </c>
      <c r="AH22" s="3" t="s">
        <v>549</v>
      </c>
      <c r="AI22" s="12" t="n">
        <v>46295</v>
      </c>
      <c r="AJ22" s="11" t="n">
        <v>1875</v>
      </c>
      <c r="AK22" s="2" t="s">
        <v>550</v>
      </c>
      <c r="AL22" s="11" t="n">
        <v>194063</v>
      </c>
      <c r="AM22" s="3" t="s">
        <v>549</v>
      </c>
      <c r="AN22" s="12" t="n">
        <v>46295</v>
      </c>
      <c r="AO22" s="2" t="s">
        <v>551</v>
      </c>
      <c r="AP22" s="2"/>
      <c r="AQ22" s="2" t="s">
        <v>315</v>
      </c>
      <c r="AR22" s="2"/>
      <c r="AS22" s="2" t="s">
        <v>101</v>
      </c>
      <c r="AT22" s="2" t="s">
        <v>541</v>
      </c>
      <c r="AU22" s="2" t="s">
        <v>552</v>
      </c>
      <c r="AV22" s="2" t="s">
        <v>101</v>
      </c>
      <c r="AW22" s="2" t="s">
        <v>364</v>
      </c>
      <c r="AX22" s="2" t="s">
        <v>553</v>
      </c>
      <c r="AY22" s="14" t="n">
        <v>1</v>
      </c>
      <c r="AZ22" s="14" t="n">
        <v>3</v>
      </c>
      <c r="BA22" s="14" t="n">
        <v>3</v>
      </c>
      <c r="BB22" s="14" t="n">
        <v>1</v>
      </c>
      <c r="BC22" s="14" t="n">
        <v>1</v>
      </c>
      <c r="BD22" s="15" t="n">
        <f aca="false">IF(K22="",0,MAX(0,MIN(1,(LOG10(MAX(1,K22))-3)/4)))</f>
        <v>0.38996469156449</v>
      </c>
      <c r="BE22" s="15" t="n">
        <f aca="false">IF(X22="",0,MAX(0,MIN(1,(LOG10(MAX(1,X22))-2)/4)))</f>
        <v>0.593856457448086</v>
      </c>
      <c r="BF22" s="15" t="n">
        <f aca="false">IF(AG22="",0,MAX(0,MIN(1,(LOG10(MAX(1,AG22))-3)/4)))</f>
        <v>0.571985685202605</v>
      </c>
      <c r="BG22" s="15" t="n">
        <f aca="false">IF(V22="",0,MIN(1,V22/20))</f>
        <v>0.55</v>
      </c>
      <c r="BH22" s="15" t="n">
        <f aca="false">MAX(IF(P22="",0,MIN(1,('SCORING METHOD'!$C$5-P22)/730)),IF(M22="",0,MAX(0,MIN(1,(LOG10(MAX(1,M22))-1)/2.5))))</f>
        <v>0.01655707406329</v>
      </c>
      <c r="BI22" s="15" t="n">
        <f aca="false">IF(J22="Y",0.4,0)+0.6*N(AY22)/5</f>
        <v>0.12</v>
      </c>
      <c r="BJ22" s="16" t="n">
        <f aca="false">ROUND(BD22*'SCORING METHOD'!$C$6+BE22*'SCORING METHOD'!$C$7+BF22*'SCORING METHOD'!$C$8+BG22*'SCORING METHOD'!$C$9+BH22*'SCORING METHOD'!$C$10+BI22*'SCORING METHOD'!$C$11,1)</f>
        <v>41.9</v>
      </c>
      <c r="BK22" s="15" t="n">
        <f aca="false">IF(AE22="",0,MAX(0,MIN(1,(LOG10(MAX(1,IF(X22="",AE22,MIN(AE22,X22))))-2)/4)))</f>
        <v>0.593856457448086</v>
      </c>
      <c r="BL22" s="15" t="n">
        <f aca="false">IF(AL22="",0,MAX(0,MIN(1,(LOG10(MAX(1,AL22))-3)/4)))</f>
        <v>0.571985685202605</v>
      </c>
      <c r="BM22" s="15" t="n">
        <f aca="false">IF(U22="",0,MIN(1,U22/14))</f>
        <v>0.785714285714286</v>
      </c>
      <c r="BN22" s="15" t="n">
        <f aca="false">IF(OR(P22="",K22="",N22="",M22="",M22=0),0,IF(AND('SCORING METHOD'!$C$5-P22&lt;=60,N22/M22&gt;=0.5),MAX(0,MIN(1,(LOG10(MAX(1,K22/MAX(1,'SCORING METHOD'!$C$5-P22)))-2)/2.5)),0))</f>
        <v>0.642246502727454</v>
      </c>
      <c r="BO22" s="15" t="n">
        <f aca="false">IF(S22="",0,MAX(0,MIN(1,1-(S22-3)/27)))</f>
        <v>1</v>
      </c>
      <c r="BP22" s="16" t="n">
        <f aca="false">ROUND(BK22*'SCORING METHOD'!$C$12+BL22*'SCORING METHOD'!$C$13+BM22*'SCORING METHOD'!$C$14+BN22*'SCORING METHOD'!$C$15+BO22*'SCORING METHOD'!$C$16,1)</f>
        <v>66.5</v>
      </c>
      <c r="BQ22" s="16" t="n">
        <f aca="false">ROUND((N(AZ22)+N(BA22)+N(BB22)+N(BC22))/20*100,1)</f>
        <v>40</v>
      </c>
      <c r="BR22" s="17" t="n">
        <f aca="false">IFERROR(INDEX('DATA SUFFICIENCY'!$J$2:$J$63,MATCH(C22,'DATA SUFFICIENCY'!$B$2:$B$63,0)),0)</f>
        <v>0.7</v>
      </c>
      <c r="BS22" s="16" t="n">
        <f aca="false">ROUND('SCORING METHOD'!$C$17*BJ22+'SCORING METHOD'!$C$18*BP22+'SCORING METHOD'!$C$19*BQ22+'SCORING METHOD'!$C$20*BR22*100,1)</f>
        <v>53.1</v>
      </c>
      <c r="BT22" s="15" t="n">
        <f aca="false">IF(F22="INCLUDED",BJ22+(1000-ROW())/100000,-1)</f>
        <v>41.90978</v>
      </c>
      <c r="BU22" s="15" t="n">
        <f aca="false">IF(F22="INCLUDED",BP22+(1000-ROW())/100000,-1)</f>
        <v>66.50978</v>
      </c>
      <c r="BV22" s="15" t="n">
        <f aca="false">IF(F22="INCLUDED",BQ22+(1000-ROW())/100000,-1)</f>
        <v>40.00978</v>
      </c>
      <c r="BW22" s="15" t="n">
        <f aca="false">IF(F22="INCLUDED",BS22+(1000-ROW())/100000,-1)</f>
        <v>53.10978</v>
      </c>
      <c r="BX22" s="2" t="s">
        <v>554</v>
      </c>
    </row>
    <row r="23" customFormat="false" ht="15" hidden="false" customHeight="false" outlineLevel="0" collapsed="false">
      <c r="A23" s="2" t="n">
        <v>22</v>
      </c>
      <c r="B23" s="2" t="s">
        <v>555</v>
      </c>
      <c r="C23" s="2" t="s">
        <v>556</v>
      </c>
      <c r="D23" s="3" t="s">
        <v>557</v>
      </c>
      <c r="E23" s="2" t="s">
        <v>350</v>
      </c>
      <c r="F23" s="2" t="s">
        <v>275</v>
      </c>
      <c r="G23" s="2"/>
      <c r="H23" s="2" t="s">
        <v>558</v>
      </c>
      <c r="I23" s="2" t="s">
        <v>277</v>
      </c>
      <c r="J23" s="2" t="s">
        <v>278</v>
      </c>
      <c r="K23" s="11" t="n">
        <v>17346</v>
      </c>
      <c r="L23" s="11"/>
      <c r="M23" s="11" t="n">
        <v>45</v>
      </c>
      <c r="N23" s="2" t="n">
        <v>22</v>
      </c>
      <c r="O23" s="2" t="s">
        <v>559</v>
      </c>
      <c r="P23" s="12" t="n">
        <v>46298</v>
      </c>
      <c r="Q23" s="2" t="s">
        <v>389</v>
      </c>
      <c r="R23" s="12" t="n">
        <v>46303</v>
      </c>
      <c r="S23" s="2" t="n">
        <f aca="false">IF(R23="","",'SCORING METHOD'!$C$5-R23)</f>
        <v>1</v>
      </c>
      <c r="T23" s="2" t="n">
        <v>19</v>
      </c>
      <c r="U23" s="2" t="n">
        <v>19</v>
      </c>
      <c r="V23" s="2" t="n">
        <v>19</v>
      </c>
      <c r="W23" s="2" t="n">
        <f aca="false">IF(U23="","",U23/2)</f>
        <v>9.5</v>
      </c>
      <c r="X23" s="11" t="n">
        <v>104</v>
      </c>
      <c r="Y23" s="11" t="n">
        <v>109</v>
      </c>
      <c r="Z23" s="11" t="n">
        <v>1</v>
      </c>
      <c r="AA23" s="11" t="n">
        <v>1</v>
      </c>
      <c r="AB23" s="2" t="n">
        <v>0</v>
      </c>
      <c r="AC23" s="13" t="n">
        <f aca="false">IF(OR(X23="",K23="",K23=0),"",(X23+N(Z23))/K23)</f>
        <v>0.00605326876513317</v>
      </c>
      <c r="AD23" s="2" t="str">
        <f aca="false">IF(AC23="","UNKNOWN",IF(AC23&gt;=0.05,"Very high",IF(AC23&gt;=0.02,"High",IF(AC23&gt;=0.005,"Medium","Low"))))</f>
        <v>Medium</v>
      </c>
      <c r="AE23" s="11" t="n">
        <v>151</v>
      </c>
      <c r="AF23" s="11" t="n">
        <v>2</v>
      </c>
      <c r="AG23" s="11" t="n">
        <v>74041</v>
      </c>
      <c r="AH23" s="3" t="s">
        <v>560</v>
      </c>
      <c r="AI23" s="12" t="n">
        <v>46296</v>
      </c>
      <c r="AJ23" s="11" t="n">
        <v>619</v>
      </c>
      <c r="AK23" s="2" t="s">
        <v>561</v>
      </c>
      <c r="AL23" s="11" t="n">
        <v>609</v>
      </c>
      <c r="AM23" s="3" t="s">
        <v>562</v>
      </c>
      <c r="AN23" s="12" t="n">
        <v>46299</v>
      </c>
      <c r="AO23" s="2" t="s">
        <v>483</v>
      </c>
      <c r="AP23" s="2" t="s">
        <v>563</v>
      </c>
      <c r="AQ23" s="2" t="s">
        <v>315</v>
      </c>
      <c r="AR23" s="2"/>
      <c r="AS23" s="2" t="s">
        <v>101</v>
      </c>
      <c r="AT23" s="2" t="s">
        <v>564</v>
      </c>
      <c r="AU23" s="2" t="s">
        <v>565</v>
      </c>
      <c r="AV23" s="2" t="s">
        <v>101</v>
      </c>
      <c r="AW23" s="2" t="s">
        <v>364</v>
      </c>
      <c r="AX23" s="2" t="s">
        <v>566</v>
      </c>
      <c r="AY23" s="14" t="n">
        <v>1</v>
      </c>
      <c r="AZ23" s="14" t="n">
        <v>3</v>
      </c>
      <c r="BA23" s="14" t="n">
        <v>3</v>
      </c>
      <c r="BB23" s="14" t="n">
        <v>2</v>
      </c>
      <c r="BC23" s="14" t="n">
        <v>4</v>
      </c>
      <c r="BD23" s="15" t="n">
        <f aca="false">IF(K23="",0,MAX(0,MIN(1,(LOG10(MAX(1,K23))-3)/4)))</f>
        <v>0.309799835513575</v>
      </c>
      <c r="BE23" s="15" t="n">
        <f aca="false">IF(X23="",0,MAX(0,MIN(1,(LOG10(MAX(1,X23))-2)/4)))</f>
        <v>0.00425833482469507</v>
      </c>
      <c r="BF23" s="15" t="n">
        <f aca="false">IF(AG23="",0,MAX(0,MIN(1,(LOG10(MAX(1,AG23))-3)/4)))</f>
        <v>0.467368068928743</v>
      </c>
      <c r="BG23" s="15" t="n">
        <f aca="false">IF(V23="",0,MIN(1,V23/20))</f>
        <v>0.95</v>
      </c>
      <c r="BH23" s="15" t="n">
        <f aca="false">MAX(IF(P23="",0,MIN(1,('SCORING METHOD'!$C$5-P23)/730)),IF(M23="",0,MAX(0,MIN(1,(LOG10(MAX(1,M23))-1)/2.5))))</f>
        <v>0.261285005510138</v>
      </c>
      <c r="BI23" s="15" t="n">
        <f aca="false">IF(J23="Y",0.4,0)+0.6*N(AY23)/5</f>
        <v>0.12</v>
      </c>
      <c r="BJ23" s="16" t="n">
        <f aca="false">ROUND(BD23*'SCORING METHOD'!$C$6+BE23*'SCORING METHOD'!$C$7+BF23*'SCORING METHOD'!$C$8+BG23*'SCORING METHOD'!$C$9+BH23*'SCORING METHOD'!$C$10+BI23*'SCORING METHOD'!$C$11,1)</f>
        <v>32</v>
      </c>
      <c r="BK23" s="15" t="n">
        <f aca="false">IF(AE23="",0,MAX(0,MIN(1,(LOG10(MAX(1,IF(X23="",AE23,MIN(AE23,X23))))-2)/4)))</f>
        <v>0.00425833482469507</v>
      </c>
      <c r="BL23" s="15" t="n">
        <f aca="false">IF(AL23="",0,MAX(0,MIN(1,(LOG10(MAX(1,AL23))-3)/4)))</f>
        <v>0</v>
      </c>
      <c r="BM23" s="15" t="n">
        <f aca="false">IF(U23="",0,MIN(1,U23/14))</f>
        <v>1</v>
      </c>
      <c r="BN23" s="15" t="n">
        <f aca="false">IF(OR(P23="",K23="",N23="",M23="",M23=0),0,IF(AND('SCORING METHOD'!$C$5-P23&lt;=60,N23/M23&gt;=0.5),MAX(0,MIN(1,(LOG10(MAX(1,K23/MAX(1,'SCORING METHOD'!$C$5-P23)))-2)/2.5)),0))</f>
        <v>0</v>
      </c>
      <c r="BO23" s="15" t="n">
        <f aca="false">IF(S23="",0,MAX(0,MIN(1,1-(S23-3)/27)))</f>
        <v>1</v>
      </c>
      <c r="BP23" s="16" t="n">
        <f aca="false">ROUND(BK23*'SCORING METHOD'!$C$12+BL23*'SCORING METHOD'!$C$13+BM23*'SCORING METHOD'!$C$14+BN23*'SCORING METHOD'!$C$15+BO23*'SCORING METHOD'!$C$16,1)</f>
        <v>25.1</v>
      </c>
      <c r="BQ23" s="16" t="n">
        <f aca="false">ROUND((N(AZ23)+N(BA23)+N(BB23)+N(BC23))/20*100,1)</f>
        <v>60</v>
      </c>
      <c r="BR23" s="17" t="n">
        <f aca="false">IFERROR(INDEX('DATA SUFFICIENCY'!$J$2:$J$63,MATCH(C23,'DATA SUFFICIENCY'!$B$2:$B$63,0)),0)</f>
        <v>0.8</v>
      </c>
      <c r="BS23" s="16" t="n">
        <f aca="false">ROUND('SCORING METHOD'!$C$17*BJ23+'SCORING METHOD'!$C$18*BP23+'SCORING METHOD'!$C$19*BQ23+'SCORING METHOD'!$C$20*BR23*100,1)</f>
        <v>42.7</v>
      </c>
      <c r="BT23" s="15" t="n">
        <f aca="false">IF(F23="INCLUDED",BJ23+(1000-ROW())/100000,-1)</f>
        <v>32.00977</v>
      </c>
      <c r="BU23" s="15" t="n">
        <f aca="false">IF(F23="INCLUDED",BP23+(1000-ROW())/100000,-1)</f>
        <v>25.10977</v>
      </c>
      <c r="BV23" s="15" t="n">
        <f aca="false">IF(F23="INCLUDED",BQ23+(1000-ROW())/100000,-1)</f>
        <v>60.00977</v>
      </c>
      <c r="BW23" s="15" t="n">
        <f aca="false">IF(F23="INCLUDED",BS23+(1000-ROW())/100000,-1)</f>
        <v>42.70977</v>
      </c>
      <c r="BX23" s="2" t="s">
        <v>567</v>
      </c>
    </row>
    <row r="24" customFormat="false" ht="15" hidden="false" customHeight="false" outlineLevel="0" collapsed="false">
      <c r="A24" s="2" t="n">
        <v>23</v>
      </c>
      <c r="B24" s="2" t="s">
        <v>568</v>
      </c>
      <c r="C24" s="2" t="s">
        <v>569</v>
      </c>
      <c r="D24" s="3" t="s">
        <v>570</v>
      </c>
      <c r="E24" s="2" t="s">
        <v>350</v>
      </c>
      <c r="F24" s="2" t="s">
        <v>275</v>
      </c>
      <c r="G24" s="2"/>
      <c r="H24" s="2" t="s">
        <v>571</v>
      </c>
      <c r="I24" s="2" t="s">
        <v>277</v>
      </c>
      <c r="J24" s="2" t="s">
        <v>278</v>
      </c>
      <c r="K24" s="11" t="n">
        <v>12525</v>
      </c>
      <c r="L24" s="11"/>
      <c r="M24" s="11" t="n">
        <v>30</v>
      </c>
      <c r="N24" s="2" t="n">
        <v>12</v>
      </c>
      <c r="O24" s="2" t="s">
        <v>572</v>
      </c>
      <c r="P24" s="12" t="n">
        <v>46296</v>
      </c>
      <c r="Q24" s="2" t="s">
        <v>432</v>
      </c>
      <c r="R24" s="12" t="n">
        <v>46304</v>
      </c>
      <c r="S24" s="2" t="n">
        <f aca="false">IF(R24="","",'SCORING METHOD'!$C$5-R24)</f>
        <v>0</v>
      </c>
      <c r="T24" s="2" t="n">
        <v>10</v>
      </c>
      <c r="U24" s="2" t="n">
        <v>9</v>
      </c>
      <c r="V24" s="2" t="n">
        <v>9</v>
      </c>
      <c r="W24" s="2" t="n">
        <f aca="false">IF(U24="","",U24/2)</f>
        <v>4.5</v>
      </c>
      <c r="X24" s="11" t="n">
        <v>2200</v>
      </c>
      <c r="Y24" s="11" t="n">
        <v>980</v>
      </c>
      <c r="Z24" s="11" t="n">
        <v>31</v>
      </c>
      <c r="AA24" s="11" t="n">
        <v>20</v>
      </c>
      <c r="AB24" s="2" t="n">
        <v>0</v>
      </c>
      <c r="AC24" s="13" t="n">
        <f aca="false">IF(OR(X24="",K24="",K24=0),"",(X24+N(Z24))/K24)</f>
        <v>0.17812375249501</v>
      </c>
      <c r="AD24" s="2" t="str">
        <f aca="false">IF(AC24="","UNKNOWN",IF(AC24&gt;=0.05,"Very high",IF(AC24&gt;=0.02,"High",IF(AC24&gt;=0.005,"Medium","Low"))))</f>
        <v>Very high</v>
      </c>
      <c r="AE24" s="11" t="n">
        <v>2200</v>
      </c>
      <c r="AF24" s="11" t="n">
        <v>31</v>
      </c>
      <c r="AG24" s="11" t="n">
        <v>81230</v>
      </c>
      <c r="AH24" s="3" t="s">
        <v>573</v>
      </c>
      <c r="AI24" s="12" t="n">
        <v>46299</v>
      </c>
      <c r="AJ24" s="11" t="n">
        <v>1450</v>
      </c>
      <c r="AK24" s="2" t="s">
        <v>574</v>
      </c>
      <c r="AL24" s="11" t="n">
        <v>7051</v>
      </c>
      <c r="AM24" s="3" t="s">
        <v>575</v>
      </c>
      <c r="AN24" s="12" t="n">
        <v>46298</v>
      </c>
      <c r="AO24" s="2" t="s">
        <v>576</v>
      </c>
      <c r="AP24" s="2" t="s">
        <v>577</v>
      </c>
      <c r="AQ24" s="2" t="s">
        <v>315</v>
      </c>
      <c r="AR24" s="2"/>
      <c r="AS24" s="2" t="s">
        <v>101</v>
      </c>
      <c r="AT24" s="2" t="s">
        <v>541</v>
      </c>
      <c r="AU24" s="2" t="s">
        <v>578</v>
      </c>
      <c r="AV24" s="2" t="s">
        <v>101</v>
      </c>
      <c r="AW24" s="2" t="s">
        <v>364</v>
      </c>
      <c r="AX24" s="2" t="s">
        <v>579</v>
      </c>
      <c r="AY24" s="14" t="n">
        <v>2</v>
      </c>
      <c r="AZ24" s="14" t="n">
        <v>3</v>
      </c>
      <c r="BA24" s="14" t="n">
        <v>4</v>
      </c>
      <c r="BB24" s="14" t="n">
        <v>2</v>
      </c>
      <c r="BC24" s="14" t="n">
        <v>1</v>
      </c>
      <c r="BD24" s="15" t="n">
        <f aca="false">IF(K24="",0,MAX(0,MIN(1,(LOG10(MAX(1,K24))-3)/4)))</f>
        <v>0.274444433634821</v>
      </c>
      <c r="BE24" s="15" t="n">
        <f aca="false">IF(X24="",0,MAX(0,MIN(1,(LOG10(MAX(1,X24))-2)/4)))</f>
        <v>0.335605670205552</v>
      </c>
      <c r="BF24" s="15" t="n">
        <f aca="false">IF(AG24="",0,MAX(0,MIN(1,(LOG10(MAX(1,AG24))-3)/4)))</f>
        <v>0.477429113308586</v>
      </c>
      <c r="BG24" s="15" t="n">
        <f aca="false">IF(V24="",0,MIN(1,V24/20))</f>
        <v>0.45</v>
      </c>
      <c r="BH24" s="15" t="n">
        <f aca="false">MAX(IF(P24="",0,MIN(1,('SCORING METHOD'!$C$5-P24)/730)),IF(M24="",0,MAX(0,MIN(1,(LOG10(MAX(1,M24))-1)/2.5))))</f>
        <v>0.190848501887865</v>
      </c>
      <c r="BI24" s="15" t="n">
        <f aca="false">IF(J24="Y",0.4,0)+0.6*N(AY24)/5</f>
        <v>0.24</v>
      </c>
      <c r="BJ24" s="16" t="n">
        <f aca="false">ROUND(BD24*'SCORING METHOD'!$C$6+BE24*'SCORING METHOD'!$C$7+BF24*'SCORING METHOD'!$C$8+BG24*'SCORING METHOD'!$C$9+BH24*'SCORING METHOD'!$C$10+BI24*'SCORING METHOD'!$C$11,1)</f>
        <v>33.3</v>
      </c>
      <c r="BK24" s="15" t="n">
        <f aca="false">IF(AE24="",0,MAX(0,MIN(1,(LOG10(MAX(1,IF(X24="",AE24,MIN(AE24,X24))))-2)/4)))</f>
        <v>0.335605670205552</v>
      </c>
      <c r="BL24" s="15" t="n">
        <f aca="false">IF(AL24="",0,MAX(0,MIN(1,(LOG10(MAX(1,AL24))-3)/4)))</f>
        <v>0.212062678669261</v>
      </c>
      <c r="BM24" s="15" t="n">
        <f aca="false">IF(U24="",0,MIN(1,U24/14))</f>
        <v>0.642857142857143</v>
      </c>
      <c r="BN24" s="15" t="n">
        <f aca="false">IF(OR(P24="",K24="",N24="",M24="",M24=0),0,IF(AND('SCORING METHOD'!$C$5-P24&lt;=60,N24/M24&gt;=0.5),MAX(0,MIN(1,(LOG10(MAX(1,K24/MAX(1,'SCORING METHOD'!$C$5-P24)))-2)/2.5)),0))</f>
        <v>0</v>
      </c>
      <c r="BO24" s="15" t="n">
        <f aca="false">IF(S24="",0,MAX(0,MIN(1,1-(S24-3)/27)))</f>
        <v>1</v>
      </c>
      <c r="BP24" s="16" t="n">
        <f aca="false">ROUND(BK24*'SCORING METHOD'!$C$12+BL24*'SCORING METHOD'!$C$13+BM24*'SCORING METHOD'!$C$14+BN24*'SCORING METHOD'!$C$15+BO24*'SCORING METHOD'!$C$16,1)</f>
        <v>36.7</v>
      </c>
      <c r="BQ24" s="16" t="n">
        <f aca="false">ROUND((N(AZ24)+N(BA24)+N(BB24)+N(BC24))/20*100,1)</f>
        <v>50</v>
      </c>
      <c r="BR24" s="17" t="n">
        <f aca="false">IFERROR(INDEX('DATA SUFFICIENCY'!$J$2:$J$63,MATCH(C24,'DATA SUFFICIENCY'!$B$2:$B$63,0)),0)</f>
        <v>0.6</v>
      </c>
      <c r="BS24" s="16" t="n">
        <f aca="false">ROUND('SCORING METHOD'!$C$17*BJ24+'SCORING METHOD'!$C$18*BP24+'SCORING METHOD'!$C$19*BQ24+'SCORING METHOD'!$C$20*BR24*100,1)</f>
        <v>41.7</v>
      </c>
      <c r="BT24" s="15" t="n">
        <f aca="false">IF(F24="INCLUDED",BJ24+(1000-ROW())/100000,-1)</f>
        <v>33.30976</v>
      </c>
      <c r="BU24" s="15" t="n">
        <f aca="false">IF(F24="INCLUDED",BP24+(1000-ROW())/100000,-1)</f>
        <v>36.70976</v>
      </c>
      <c r="BV24" s="15" t="n">
        <f aca="false">IF(F24="INCLUDED",BQ24+(1000-ROW())/100000,-1)</f>
        <v>50.00976</v>
      </c>
      <c r="BW24" s="15" t="n">
        <f aca="false">IF(F24="INCLUDED",BS24+(1000-ROW())/100000,-1)</f>
        <v>41.70976</v>
      </c>
      <c r="BX24" s="2" t="s">
        <v>580</v>
      </c>
    </row>
    <row r="25" customFormat="false" ht="15" hidden="false" customHeight="false" outlineLevel="0" collapsed="false">
      <c r="A25" s="2" t="n">
        <v>24</v>
      </c>
      <c r="B25" s="2" t="s">
        <v>581</v>
      </c>
      <c r="C25" s="2" t="s">
        <v>582</v>
      </c>
      <c r="D25" s="3" t="s">
        <v>583</v>
      </c>
      <c r="E25" s="2" t="s">
        <v>350</v>
      </c>
      <c r="F25" s="2" t="s">
        <v>275</v>
      </c>
      <c r="G25" s="2"/>
      <c r="H25" s="2" t="s">
        <v>584</v>
      </c>
      <c r="I25" s="2" t="s">
        <v>277</v>
      </c>
      <c r="J25" s="2" t="s">
        <v>278</v>
      </c>
      <c r="K25" s="11" t="n">
        <v>63220</v>
      </c>
      <c r="L25" s="11"/>
      <c r="M25" s="11" t="n">
        <v>25</v>
      </c>
      <c r="N25" s="2" t="n">
        <v>22</v>
      </c>
      <c r="O25" s="2" t="s">
        <v>585</v>
      </c>
      <c r="P25" s="12" t="n">
        <v>46288</v>
      </c>
      <c r="Q25" s="2" t="s">
        <v>389</v>
      </c>
      <c r="R25" s="12" t="n">
        <v>46304</v>
      </c>
      <c r="S25" s="2" t="n">
        <f aca="false">IF(R25="","",'SCORING METHOD'!$C$5-R25)</f>
        <v>0</v>
      </c>
      <c r="T25" s="2" t="n">
        <v>14</v>
      </c>
      <c r="U25" s="2" t="n">
        <v>18</v>
      </c>
      <c r="V25" s="2" t="n">
        <v>22</v>
      </c>
      <c r="W25" s="2" t="n">
        <f aca="false">IF(U25="","",U25/2)</f>
        <v>9</v>
      </c>
      <c r="X25" s="11" t="n">
        <v>794</v>
      </c>
      <c r="Y25" s="11" t="n">
        <v>341</v>
      </c>
      <c r="Z25" s="11" t="n">
        <v>25</v>
      </c>
      <c r="AA25" s="11" t="n">
        <v>12</v>
      </c>
      <c r="AB25" s="2" t="n">
        <v>0</v>
      </c>
      <c r="AC25" s="13" t="n">
        <f aca="false">IF(OR(X25="",K25="",K25=0),"",(X25+N(Z25))/K25)</f>
        <v>0.0129547611515343</v>
      </c>
      <c r="AD25" s="2" t="str">
        <f aca="false">IF(AC25="","UNKNOWN",IF(AC25&gt;=0.05,"Very high",IF(AC25&gt;=0.02,"High",IF(AC25&gt;=0.005,"Medium","Low"))))</f>
        <v>Medium</v>
      </c>
      <c r="AE25" s="11" t="n">
        <v>11758</v>
      </c>
      <c r="AF25" s="11" t="n">
        <v>184</v>
      </c>
      <c r="AG25" s="11" t="n">
        <v>118332</v>
      </c>
      <c r="AH25" s="3" t="s">
        <v>586</v>
      </c>
      <c r="AI25" s="12" t="n">
        <v>46297</v>
      </c>
      <c r="AJ25" s="11" t="n">
        <v>1590</v>
      </c>
      <c r="AK25" s="2" t="s">
        <v>587</v>
      </c>
      <c r="AL25" s="11" t="n">
        <v>118332</v>
      </c>
      <c r="AM25" s="3" t="s">
        <v>586</v>
      </c>
      <c r="AN25" s="12" t="n">
        <v>46297</v>
      </c>
      <c r="AO25" s="2" t="s">
        <v>588</v>
      </c>
      <c r="AP25" s="2"/>
      <c r="AQ25" s="2" t="s">
        <v>315</v>
      </c>
      <c r="AR25" s="2"/>
      <c r="AS25" s="2" t="s">
        <v>101</v>
      </c>
      <c r="AT25" s="2" t="s">
        <v>589</v>
      </c>
      <c r="AU25" s="2" t="s">
        <v>590</v>
      </c>
      <c r="AV25" s="2" t="s">
        <v>101</v>
      </c>
      <c r="AW25" s="2" t="s">
        <v>364</v>
      </c>
      <c r="AX25" s="2" t="s">
        <v>591</v>
      </c>
      <c r="AY25" s="14" t="n">
        <v>1</v>
      </c>
      <c r="AZ25" s="14" t="n">
        <v>2</v>
      </c>
      <c r="BA25" s="14" t="n">
        <v>2</v>
      </c>
      <c r="BB25" s="14" t="n">
        <v>1</v>
      </c>
      <c r="BC25" s="14" t="n">
        <v>2</v>
      </c>
      <c r="BD25" s="15" t="n">
        <f aca="false">IF(K25="",0,MAX(0,MIN(1,(LOG10(MAX(1,K25))-3)/4)))</f>
        <v>0.45021362287589</v>
      </c>
      <c r="BE25" s="15" t="n">
        <f aca="false">IF(X25="",0,MAX(0,MIN(1,(LOG10(MAX(1,X25))-2)/4)))</f>
        <v>0.224955125606774</v>
      </c>
      <c r="BF25" s="15" t="n">
        <f aca="false">IF(AG25="",0,MAX(0,MIN(1,(LOG10(MAX(1,AG25))-3)/4)))</f>
        <v>0.518275551212228</v>
      </c>
      <c r="BG25" s="15" t="n">
        <f aca="false">IF(V25="",0,MIN(1,V25/20))</f>
        <v>1</v>
      </c>
      <c r="BH25" s="15" t="n">
        <f aca="false">MAX(IF(P25="",0,MIN(1,('SCORING METHOD'!$C$5-P25)/730)),IF(M25="",0,MAX(0,MIN(1,(LOG10(MAX(1,M25))-1)/2.5))))</f>
        <v>0.159176003468815</v>
      </c>
      <c r="BI25" s="15" t="n">
        <f aca="false">IF(J25="Y",0.4,0)+0.6*N(AY25)/5</f>
        <v>0.12</v>
      </c>
      <c r="BJ25" s="16" t="n">
        <f aca="false">ROUND(BD25*'SCORING METHOD'!$C$6+BE25*'SCORING METHOD'!$C$7+BF25*'SCORING METHOD'!$C$8+BG25*'SCORING METHOD'!$C$9+BH25*'SCORING METHOD'!$C$10+BI25*'SCORING METHOD'!$C$11,1)</f>
        <v>41.2</v>
      </c>
      <c r="BK25" s="15" t="n">
        <f aca="false">IF(AE25="",0,MAX(0,MIN(1,(LOG10(MAX(1,IF(X25="",AE25,MIN(AE25,X25))))-2)/4)))</f>
        <v>0.224955125606774</v>
      </c>
      <c r="BL25" s="15" t="n">
        <f aca="false">IF(AL25="",0,MAX(0,MIN(1,(LOG10(MAX(1,AL25))-3)/4)))</f>
        <v>0.518275551212228</v>
      </c>
      <c r="BM25" s="15" t="n">
        <f aca="false">IF(U25="",0,MIN(1,U25/14))</f>
        <v>1</v>
      </c>
      <c r="BN25" s="15" t="n">
        <f aca="false">IF(OR(P25="",K25="",N25="",M25="",M25=0),0,IF(AND('SCORING METHOD'!$C$5-P25&lt;=60,N25/M25&gt;=0.5),MAX(0,MIN(1,(LOG10(MAX(1,K25/MAX(1,'SCORING METHOD'!$C$5-P25)))-2)/2.5)),0))</f>
        <v>0.638693803539055</v>
      </c>
      <c r="BO25" s="15" t="n">
        <f aca="false">IF(S25="",0,MAX(0,MIN(1,1-(S25-3)/27)))</f>
        <v>1</v>
      </c>
      <c r="BP25" s="16" t="n">
        <f aca="false">ROUND(BK25*'SCORING METHOD'!$C$12+BL25*'SCORING METHOD'!$C$13+BM25*'SCORING METHOD'!$C$14+BN25*'SCORING METHOD'!$C$15+BO25*'SCORING METHOD'!$C$16,1)</f>
        <v>55.4</v>
      </c>
      <c r="BQ25" s="16" t="n">
        <f aca="false">ROUND((N(AZ25)+N(BA25)+N(BB25)+N(BC25))/20*100,1)</f>
        <v>35</v>
      </c>
      <c r="BR25" s="17" t="n">
        <f aca="false">IFERROR(INDEX('DATA SUFFICIENCY'!$J$2:$J$63,MATCH(C25,'DATA SUFFICIENCY'!$B$2:$B$63,0)),0)</f>
        <v>0.8</v>
      </c>
      <c r="BS25" s="16" t="n">
        <f aca="false">ROUND('SCORING METHOD'!$C$17*BJ25+'SCORING METHOD'!$C$18*BP25+'SCORING METHOD'!$C$19*BQ25+'SCORING METHOD'!$C$20*BR25*100,1)</f>
        <v>50</v>
      </c>
      <c r="BT25" s="15" t="n">
        <f aca="false">IF(F25="INCLUDED",BJ25+(1000-ROW())/100000,-1)</f>
        <v>41.20975</v>
      </c>
      <c r="BU25" s="15" t="n">
        <f aca="false">IF(F25="INCLUDED",BP25+(1000-ROW())/100000,-1)</f>
        <v>55.40975</v>
      </c>
      <c r="BV25" s="15" t="n">
        <f aca="false">IF(F25="INCLUDED",BQ25+(1000-ROW())/100000,-1)</f>
        <v>35.00975</v>
      </c>
      <c r="BW25" s="15" t="n">
        <f aca="false">IF(F25="INCLUDED",BS25+(1000-ROW())/100000,-1)</f>
        <v>50.00975</v>
      </c>
      <c r="BX25" s="2" t="s">
        <v>592</v>
      </c>
    </row>
    <row r="26" customFormat="false" ht="15" hidden="false" customHeight="false" outlineLevel="0" collapsed="false">
      <c r="A26" s="2" t="n">
        <v>25</v>
      </c>
      <c r="B26" s="2" t="s">
        <v>593</v>
      </c>
      <c r="C26" s="2" t="s">
        <v>594</v>
      </c>
      <c r="D26" s="3" t="s">
        <v>595</v>
      </c>
      <c r="E26" s="2" t="s">
        <v>350</v>
      </c>
      <c r="F26" s="2" t="s">
        <v>275</v>
      </c>
      <c r="G26" s="2"/>
      <c r="H26" s="2" t="s">
        <v>596</v>
      </c>
      <c r="I26" s="2" t="s">
        <v>597</v>
      </c>
      <c r="J26" s="2" t="s">
        <v>278</v>
      </c>
      <c r="K26" s="11" t="n">
        <v>965161</v>
      </c>
      <c r="L26" s="11"/>
      <c r="M26" s="11" t="n">
        <v>97</v>
      </c>
      <c r="N26" s="2" t="n">
        <v>22</v>
      </c>
      <c r="O26" s="2" t="s">
        <v>598</v>
      </c>
      <c r="P26" s="12" t="n">
        <v>46282</v>
      </c>
      <c r="Q26" s="2" t="s">
        <v>389</v>
      </c>
      <c r="R26" s="12" t="n">
        <v>46303</v>
      </c>
      <c r="S26" s="2" t="n">
        <f aca="false">IF(R26="","",'SCORING METHOD'!$C$5-R26)</f>
        <v>1</v>
      </c>
      <c r="T26" s="2" t="n">
        <v>7</v>
      </c>
      <c r="U26" s="2" t="n">
        <v>13</v>
      </c>
      <c r="V26" s="2" t="n">
        <v>22</v>
      </c>
      <c r="W26" s="2" t="n">
        <f aca="false">IF(U26="","",U26/2)</f>
        <v>6.5</v>
      </c>
      <c r="X26" s="11" t="n">
        <v>60268</v>
      </c>
      <c r="Y26" s="11" t="n">
        <v>49282</v>
      </c>
      <c r="Z26" s="11" t="n">
        <v>1767</v>
      </c>
      <c r="AA26" s="11" t="n">
        <v>2047</v>
      </c>
      <c r="AB26" s="2" t="n">
        <v>0</v>
      </c>
      <c r="AC26" s="13" t="n">
        <f aca="false">IF(OR(X26="",K26="",K26=0),"",(X26+N(Z26))/K26)</f>
        <v>0.0642742506172545</v>
      </c>
      <c r="AD26" s="2" t="str">
        <f aca="false">IF(AC26="","UNKNOWN",IF(AC26&gt;=0.05,"Very high",IF(AC26&gt;=0.02,"High",IF(AC26&gt;=0.005,"Medium","Low"))))</f>
        <v>Very high</v>
      </c>
      <c r="AE26" s="11" t="n">
        <v>61104</v>
      </c>
      <c r="AF26" s="11" t="n">
        <v>1786</v>
      </c>
      <c r="AG26" s="11" t="n">
        <v>502072</v>
      </c>
      <c r="AH26" s="3" t="s">
        <v>599</v>
      </c>
      <c r="AI26" s="12" t="n">
        <v>46289</v>
      </c>
      <c r="AJ26" s="11" t="n">
        <v>10382</v>
      </c>
      <c r="AK26" s="2" t="s">
        <v>600</v>
      </c>
      <c r="AL26" s="11" t="n">
        <v>203290</v>
      </c>
      <c r="AM26" s="3" t="s">
        <v>601</v>
      </c>
      <c r="AN26" s="12" t="n">
        <v>46300</v>
      </c>
      <c r="AO26" s="2" t="s">
        <v>602</v>
      </c>
      <c r="AP26" s="2" t="s">
        <v>603</v>
      </c>
      <c r="AQ26" s="2" t="s">
        <v>315</v>
      </c>
      <c r="AR26" s="2"/>
      <c r="AS26" s="2" t="s">
        <v>101</v>
      </c>
      <c r="AT26" s="2" t="s">
        <v>604</v>
      </c>
      <c r="AU26" s="2" t="s">
        <v>605</v>
      </c>
      <c r="AV26" s="2" t="s">
        <v>606</v>
      </c>
      <c r="AW26" s="2" t="s">
        <v>607</v>
      </c>
      <c r="AX26" s="2" t="s">
        <v>608</v>
      </c>
      <c r="AY26" s="14" t="n">
        <v>3</v>
      </c>
      <c r="AZ26" s="14" t="n">
        <v>4</v>
      </c>
      <c r="BA26" s="14" t="n">
        <v>3</v>
      </c>
      <c r="BB26" s="14" t="n">
        <v>3</v>
      </c>
      <c r="BC26" s="14" t="n">
        <v>3</v>
      </c>
      <c r="BD26" s="15" t="n">
        <f aca="false">IF(K26="",0,MAX(0,MIN(1,(LOG10(MAX(1,K26))-3)/4)))</f>
        <v>0.746149941180356</v>
      </c>
      <c r="BE26" s="15" t="n">
        <f aca="false">IF(X26="",0,MAX(0,MIN(1,(LOG10(MAX(1,X26))-2)/4)))</f>
        <v>0.695021694899599</v>
      </c>
      <c r="BF26" s="15" t="n">
        <f aca="false">IF(AG26="",0,MAX(0,MIN(1,(LOG10(MAX(1,AG26))-3)/4)))</f>
        <v>0.675191500481722</v>
      </c>
      <c r="BG26" s="15" t="n">
        <f aca="false">IF(V26="",0,MIN(1,V26/20))</f>
        <v>1</v>
      </c>
      <c r="BH26" s="15" t="n">
        <f aca="false">MAX(IF(P26="",0,MIN(1,('SCORING METHOD'!$C$5-P26)/730)),IF(M26="",0,MAX(0,MIN(1,(LOG10(MAX(1,M26))-1)/2.5))))</f>
        <v>0.394708693706498</v>
      </c>
      <c r="BI26" s="15" t="n">
        <f aca="false">IF(J26="Y",0.4,0)+0.6*N(AY26)/5</f>
        <v>0.36</v>
      </c>
      <c r="BJ26" s="16" t="n">
        <f aca="false">ROUND(BD26*'SCORING METHOD'!$C$6+BE26*'SCORING METHOD'!$C$7+BF26*'SCORING METHOD'!$C$8+BG26*'SCORING METHOD'!$C$9+BH26*'SCORING METHOD'!$C$10+BI26*'SCORING METHOD'!$C$11,1)</f>
        <v>67.3</v>
      </c>
      <c r="BK26" s="15" t="n">
        <f aca="false">IF(AE26="",0,MAX(0,MIN(1,(LOG10(MAX(1,IF(X26="",AE26,MIN(AE26,X26))))-2)/4)))</f>
        <v>0.695021694899599</v>
      </c>
      <c r="BL26" s="15" t="n">
        <f aca="false">IF(AL26="",0,MAX(0,MIN(1,(LOG10(MAX(1,AL26))-3)/4)))</f>
        <v>0.577029003966404</v>
      </c>
      <c r="BM26" s="15" t="n">
        <f aca="false">IF(U26="",0,MIN(1,U26/14))</f>
        <v>0.928571428571429</v>
      </c>
      <c r="BN26" s="15" t="n">
        <f aca="false">IF(OR(P26="",K26="",N26="",M26="",M26=0),0,IF(AND('SCORING METHOD'!$C$5-P26&lt;=60,N26/M26&gt;=0.5),MAX(0,MIN(1,(LOG10(MAX(1,K26/MAX(1,'SCORING METHOD'!$C$5-P26)))-2)/2.5)),0))</f>
        <v>0</v>
      </c>
      <c r="BO26" s="15" t="n">
        <f aca="false">IF(S26="",0,MAX(0,MIN(1,1-(S26-3)/27)))</f>
        <v>1</v>
      </c>
      <c r="BP26" s="16" t="n">
        <f aca="false">ROUND(BK26*'SCORING METHOD'!$C$12+BL26*'SCORING METHOD'!$C$13+BM26*'SCORING METHOD'!$C$14+BN26*'SCORING METHOD'!$C$15+BO26*'SCORING METHOD'!$C$16,1)</f>
        <v>62.7</v>
      </c>
      <c r="BQ26" s="16" t="n">
        <f aca="false">ROUND((N(AZ26)+N(BA26)+N(BB26)+N(BC26))/20*100,1)</f>
        <v>65</v>
      </c>
      <c r="BR26" s="17" t="n">
        <f aca="false">IFERROR(INDEX('DATA SUFFICIENCY'!$J$2:$J$63,MATCH(C26,'DATA SUFFICIENCY'!$B$2:$B$63,0)),0)</f>
        <v>0.8</v>
      </c>
      <c r="BS26" s="16" t="n">
        <f aca="false">ROUND('SCORING METHOD'!$C$17*BJ26+'SCORING METHOD'!$C$18*BP26+'SCORING METHOD'!$C$19*BQ26+'SCORING METHOD'!$C$20*BR26*100,1)</f>
        <v>67.4</v>
      </c>
      <c r="BT26" s="15" t="n">
        <f aca="false">IF(F26="INCLUDED",BJ26+(1000-ROW())/100000,-1)</f>
        <v>67.30974</v>
      </c>
      <c r="BU26" s="15" t="n">
        <f aca="false">IF(F26="INCLUDED",BP26+(1000-ROW())/100000,-1)</f>
        <v>62.70974</v>
      </c>
      <c r="BV26" s="15" t="n">
        <f aca="false">IF(F26="INCLUDED",BQ26+(1000-ROW())/100000,-1)</f>
        <v>65.00974</v>
      </c>
      <c r="BW26" s="15" t="n">
        <f aca="false">IF(F26="INCLUDED",BS26+(1000-ROW())/100000,-1)</f>
        <v>67.40974</v>
      </c>
      <c r="BX26" s="2" t="s">
        <v>609</v>
      </c>
    </row>
    <row r="27" customFormat="false" ht="15" hidden="false" customHeight="false" outlineLevel="0" collapsed="false">
      <c r="A27" s="2" t="n">
        <v>26</v>
      </c>
      <c r="B27" s="2" t="s">
        <v>610</v>
      </c>
      <c r="C27" s="2" t="s">
        <v>611</v>
      </c>
      <c r="D27" s="3" t="s">
        <v>612</v>
      </c>
      <c r="E27" s="2" t="s">
        <v>350</v>
      </c>
      <c r="F27" s="2" t="s">
        <v>275</v>
      </c>
      <c r="G27" s="2"/>
      <c r="H27" s="2" t="s">
        <v>613</v>
      </c>
      <c r="I27" s="2" t="s">
        <v>597</v>
      </c>
      <c r="J27" s="2" t="s">
        <v>278</v>
      </c>
      <c r="K27" s="11" t="n">
        <v>80794</v>
      </c>
      <c r="L27" s="11"/>
      <c r="M27" s="11" t="n">
        <v>10</v>
      </c>
      <c r="N27" s="2" t="n">
        <v>10</v>
      </c>
      <c r="O27" s="2" t="s">
        <v>614</v>
      </c>
      <c r="P27" s="12" t="n">
        <v>46265</v>
      </c>
      <c r="Q27" s="2" t="s">
        <v>280</v>
      </c>
      <c r="R27" s="12" t="n">
        <v>46303</v>
      </c>
      <c r="S27" s="2" t="n">
        <f aca="false">IF(R27="","",'SCORING METHOD'!$C$5-R27)</f>
        <v>1</v>
      </c>
      <c r="T27" s="2" t="n">
        <v>1</v>
      </c>
      <c r="U27" s="2" t="n">
        <v>2</v>
      </c>
      <c r="V27" s="2" t="n">
        <v>9</v>
      </c>
      <c r="W27" s="2" t="n">
        <f aca="false">IF(U27="","",U27/2)</f>
        <v>1</v>
      </c>
      <c r="X27" s="11" t="n">
        <v>129199</v>
      </c>
      <c r="Y27" s="11" t="n">
        <v>72884</v>
      </c>
      <c r="Z27" s="11" t="n">
        <v>2907</v>
      </c>
      <c r="AA27" s="11" t="n">
        <v>2309</v>
      </c>
      <c r="AB27" s="2" t="n">
        <v>0</v>
      </c>
      <c r="AC27" s="13" t="n">
        <f aca="false">IF(OR(X27="",K27="",K27=0),"",(X27+N(Z27))/K27)</f>
        <v>1.63509666559398</v>
      </c>
      <c r="AD27" s="2" t="str">
        <f aca="false">IF(AC27="","UNKNOWN",IF(AC27&gt;=0.05,"Very high",IF(AC27&gt;=0.02,"High",IF(AC27&gt;=0.005,"Medium","Low"))))</f>
        <v>Very high</v>
      </c>
      <c r="AE27" s="11" t="n">
        <v>21214</v>
      </c>
      <c r="AF27" s="11" t="n">
        <v>537</v>
      </c>
      <c r="AG27" s="11" t="n">
        <v>647717</v>
      </c>
      <c r="AH27" s="3" t="s">
        <v>615</v>
      </c>
      <c r="AI27" s="12" t="n">
        <v>46277</v>
      </c>
      <c r="AJ27" s="11" t="n">
        <v>11452</v>
      </c>
      <c r="AK27" s="2" t="s">
        <v>616</v>
      </c>
      <c r="AL27" s="11" t="n">
        <v>35868</v>
      </c>
      <c r="AM27" s="3" t="s">
        <v>617</v>
      </c>
      <c r="AN27" s="12" t="n">
        <v>46296</v>
      </c>
      <c r="AO27" s="2" t="s">
        <v>618</v>
      </c>
      <c r="AP27" s="2"/>
      <c r="AQ27" s="2" t="s">
        <v>315</v>
      </c>
      <c r="AR27" s="2"/>
      <c r="AS27" s="2" t="s">
        <v>101</v>
      </c>
      <c r="AT27" s="2" t="s">
        <v>619</v>
      </c>
      <c r="AU27" s="2" t="s">
        <v>620</v>
      </c>
      <c r="AV27" s="2" t="s">
        <v>621</v>
      </c>
      <c r="AW27" s="2" t="s">
        <v>364</v>
      </c>
      <c r="AX27" s="2" t="s">
        <v>622</v>
      </c>
      <c r="AY27" s="14" t="n">
        <v>2</v>
      </c>
      <c r="AZ27" s="14" t="n">
        <v>4</v>
      </c>
      <c r="BA27" s="14" t="n">
        <v>3</v>
      </c>
      <c r="BB27" s="14" t="n">
        <v>3</v>
      </c>
      <c r="BC27" s="14" t="n">
        <v>3</v>
      </c>
      <c r="BD27" s="15" t="n">
        <f aca="false">IF(K27="",0,MAX(0,MIN(1,(LOG10(MAX(1,K27))-3)/4)))</f>
        <v>0.476844777496725</v>
      </c>
      <c r="BE27" s="15" t="n">
        <f aca="false">IF(X27="",0,MAX(0,MIN(1,(LOG10(MAX(1,X27))-2)/4)))</f>
        <v>0.777814788058415</v>
      </c>
      <c r="BF27" s="15" t="n">
        <f aca="false">IF(AG27="",0,MAX(0,MIN(1,(LOG10(MAX(1,AG27))-3)/4)))</f>
        <v>0.702846323927401</v>
      </c>
      <c r="BG27" s="15" t="n">
        <f aca="false">IF(V27="",0,MIN(1,V27/20))</f>
        <v>0.45</v>
      </c>
      <c r="BH27" s="15" t="n">
        <f aca="false">MAX(IF(P27="",0,MIN(1,('SCORING METHOD'!$C$5-P27)/730)),IF(M27="",0,MAX(0,MIN(1,(LOG10(MAX(1,M27))-1)/2.5))))</f>
        <v>0.0534246575342466</v>
      </c>
      <c r="BI27" s="15" t="n">
        <f aca="false">IF(J27="Y",0.4,0)+0.6*N(AY27)/5</f>
        <v>0.24</v>
      </c>
      <c r="BJ27" s="16" t="n">
        <f aca="false">ROUND(BD27*'SCORING METHOD'!$C$6+BE27*'SCORING METHOD'!$C$7+BF27*'SCORING METHOD'!$C$8+BG27*'SCORING METHOD'!$C$9+BH27*'SCORING METHOD'!$C$10+BI27*'SCORING METHOD'!$C$11,1)</f>
        <v>51.4</v>
      </c>
      <c r="BK27" s="15" t="n">
        <f aca="false">IF(AE27="",0,MAX(0,MIN(1,(LOG10(MAX(1,IF(X27="",AE27,MIN(AE27,X27))))-2)/4)))</f>
        <v>0.581655641128914</v>
      </c>
      <c r="BL27" s="15" t="n">
        <f aca="false">IF(AL27="",0,MAX(0,MIN(1,(LOG10(MAX(1,AL27))-3)/4)))</f>
        <v>0.388676790271726</v>
      </c>
      <c r="BM27" s="15" t="n">
        <f aca="false">IF(U27="",0,MIN(1,U27/14))</f>
        <v>0.142857142857143</v>
      </c>
      <c r="BN27" s="15" t="n">
        <f aca="false">IF(OR(P27="",K27="",N27="",M27="",M27=0),0,IF(AND('SCORING METHOD'!$C$5-P27&lt;=60,N27/M27&gt;=0.5),MAX(0,MIN(1,(LOG10(MAX(1,K27/MAX(1,'SCORING METHOD'!$C$5-P27)))-2)/2.5)),0))</f>
        <v>0.526525801184161</v>
      </c>
      <c r="BO27" s="15" t="n">
        <f aca="false">IF(S27="",0,MAX(0,MIN(1,1-(S27-3)/27)))</f>
        <v>1</v>
      </c>
      <c r="BP27" s="16" t="n">
        <f aca="false">ROUND(BK27*'SCORING METHOD'!$C$12+BL27*'SCORING METHOD'!$C$13+BM27*'SCORING METHOD'!$C$14+BN27*'SCORING METHOD'!$C$15+BO27*'SCORING METHOD'!$C$16,1)</f>
        <v>50.1</v>
      </c>
      <c r="BQ27" s="16" t="n">
        <f aca="false">ROUND((N(AZ27)+N(BA27)+N(BB27)+N(BC27))/20*100,1)</f>
        <v>65</v>
      </c>
      <c r="BR27" s="17" t="n">
        <f aca="false">IFERROR(INDEX('DATA SUFFICIENCY'!$J$2:$J$63,MATCH(C27,'DATA SUFFICIENCY'!$B$2:$B$63,0)),0)</f>
        <v>0.8</v>
      </c>
      <c r="BS27" s="16" t="n">
        <f aca="false">ROUND('SCORING METHOD'!$C$17*BJ27+'SCORING METHOD'!$C$18*BP27+'SCORING METHOD'!$C$19*BQ27+'SCORING METHOD'!$C$20*BR27*100,1)</f>
        <v>58</v>
      </c>
      <c r="BT27" s="15" t="n">
        <f aca="false">IF(F27="INCLUDED",BJ27+(1000-ROW())/100000,-1)</f>
        <v>51.40973</v>
      </c>
      <c r="BU27" s="15" t="n">
        <f aca="false">IF(F27="INCLUDED",BP27+(1000-ROW())/100000,-1)</f>
        <v>50.10973</v>
      </c>
      <c r="BV27" s="15" t="n">
        <f aca="false">IF(F27="INCLUDED",BQ27+(1000-ROW())/100000,-1)</f>
        <v>65.00973</v>
      </c>
      <c r="BW27" s="15" t="n">
        <f aca="false">IF(F27="INCLUDED",BS27+(1000-ROW())/100000,-1)</f>
        <v>58.00973</v>
      </c>
      <c r="BX27" s="2" t="s">
        <v>623</v>
      </c>
    </row>
    <row r="28" customFormat="false" ht="15" hidden="false" customHeight="false" outlineLevel="0" collapsed="false">
      <c r="A28" s="2" t="n">
        <v>27</v>
      </c>
      <c r="B28" s="2" t="s">
        <v>624</v>
      </c>
      <c r="C28" s="2" t="s">
        <v>625</v>
      </c>
      <c r="D28" s="3" t="s">
        <v>626</v>
      </c>
      <c r="E28" s="2" t="s">
        <v>350</v>
      </c>
      <c r="F28" s="2" t="s">
        <v>275</v>
      </c>
      <c r="G28" s="2"/>
      <c r="H28" s="2" t="s">
        <v>627</v>
      </c>
      <c r="I28" s="2" t="s">
        <v>371</v>
      </c>
      <c r="J28" s="2" t="s">
        <v>352</v>
      </c>
      <c r="K28" s="11" t="n">
        <v>85019</v>
      </c>
      <c r="L28" s="11"/>
      <c r="M28" s="11" t="n">
        <v>110</v>
      </c>
      <c r="N28" s="2" t="n">
        <v>12</v>
      </c>
      <c r="O28" s="2" t="s">
        <v>628</v>
      </c>
      <c r="P28" s="12" t="n">
        <v>46295</v>
      </c>
      <c r="Q28" s="2" t="s">
        <v>432</v>
      </c>
      <c r="R28" s="12" t="n">
        <v>46303</v>
      </c>
      <c r="S28" s="2" t="n">
        <f aca="false">IF(R28="","",'SCORING METHOD'!$C$5-R28)</f>
        <v>1</v>
      </c>
      <c r="T28" s="2" t="n">
        <v>9</v>
      </c>
      <c r="U28" s="2" t="n">
        <v>12</v>
      </c>
      <c r="V28" s="2" t="n">
        <v>12</v>
      </c>
      <c r="W28" s="2" t="n">
        <f aca="false">IF(U28="","",U28/2)</f>
        <v>6</v>
      </c>
      <c r="X28" s="11" t="n">
        <v>11405</v>
      </c>
      <c r="Y28" s="11" t="n">
        <v>5704</v>
      </c>
      <c r="Z28" s="11" t="n">
        <v>108</v>
      </c>
      <c r="AA28" s="11" t="n">
        <v>82</v>
      </c>
      <c r="AB28" s="2" t="n">
        <v>0</v>
      </c>
      <c r="AC28" s="13" t="n">
        <f aca="false">IF(OR(X28="",K28="",K28=0),"",(X28+N(Z28))/K28)</f>
        <v>0.135416789188299</v>
      </c>
      <c r="AD28" s="2" t="str">
        <f aca="false">IF(AC28="","UNKNOWN",IF(AC28&gt;=0.05,"Very high",IF(AC28&gt;=0.02,"High",IF(AC28&gt;=0.005,"Medium","Low"))))</f>
        <v>Very high</v>
      </c>
      <c r="AE28" s="11" t="n">
        <v>11405</v>
      </c>
      <c r="AF28" s="11" t="n">
        <v>108</v>
      </c>
      <c r="AG28" s="11" t="n">
        <v>52198</v>
      </c>
      <c r="AH28" s="3" t="s">
        <v>629</v>
      </c>
      <c r="AI28" s="12" t="n">
        <v>46295</v>
      </c>
      <c r="AJ28" s="11" t="n">
        <v>456</v>
      </c>
      <c r="AK28" s="2" t="s">
        <v>630</v>
      </c>
      <c r="AL28" s="11" t="n">
        <v>52198</v>
      </c>
      <c r="AM28" s="3" t="s">
        <v>629</v>
      </c>
      <c r="AN28" s="12" t="n">
        <v>46295</v>
      </c>
      <c r="AO28" s="2" t="s">
        <v>631</v>
      </c>
      <c r="AP28" s="2"/>
      <c r="AQ28" s="2" t="s">
        <v>315</v>
      </c>
      <c r="AR28" s="2"/>
      <c r="AS28" s="2" t="s">
        <v>101</v>
      </c>
      <c r="AT28" s="2" t="s">
        <v>632</v>
      </c>
      <c r="AU28" s="2" t="s">
        <v>633</v>
      </c>
      <c r="AV28" s="2" t="s">
        <v>634</v>
      </c>
      <c r="AW28" s="2" t="s">
        <v>364</v>
      </c>
      <c r="AX28" s="2" t="s">
        <v>635</v>
      </c>
      <c r="AY28" s="14" t="n">
        <v>2</v>
      </c>
      <c r="AZ28" s="14" t="n">
        <v>3</v>
      </c>
      <c r="BA28" s="14" t="n">
        <v>3</v>
      </c>
      <c r="BB28" s="14" t="n">
        <v>3</v>
      </c>
      <c r="BC28" s="14" t="n">
        <v>3</v>
      </c>
      <c r="BD28" s="15" t="n">
        <f aca="false">IF(K28="",0,MAX(0,MIN(1,(LOG10(MAX(1,K28))-3)/4)))</f>
        <v>0.482378998114033</v>
      </c>
      <c r="BE28" s="15" t="n">
        <f aca="false">IF(X28="",0,MAX(0,MIN(1,(LOG10(MAX(1,X28))-2)/4)))</f>
        <v>0.514273822403167</v>
      </c>
      <c r="BF28" s="15" t="n">
        <f aca="false">IF(AG28="",0,MAX(0,MIN(1,(LOG10(MAX(1,AG28))-3)/4)))</f>
        <v>0.429413465762041</v>
      </c>
      <c r="BG28" s="15" t="n">
        <f aca="false">IF(V28="",0,MIN(1,V28/20))</f>
        <v>0.6</v>
      </c>
      <c r="BH28" s="15" t="n">
        <f aca="false">MAX(IF(P28="",0,MIN(1,('SCORING METHOD'!$C$5-P28)/730)),IF(M28="",0,MAX(0,MIN(1,(LOG10(MAX(1,M28))-1)/2.5))))</f>
        <v>0.41655707406329</v>
      </c>
      <c r="BI28" s="15" t="n">
        <f aca="false">IF(J28="Y",0.4,0)+0.6*N(AY28)/5</f>
        <v>0.64</v>
      </c>
      <c r="BJ28" s="16" t="n">
        <f aca="false">ROUND(BD28*'SCORING METHOD'!$C$6+BE28*'SCORING METHOD'!$C$7+BF28*'SCORING METHOD'!$C$8+BG28*'SCORING METHOD'!$C$9+BH28*'SCORING METHOD'!$C$10+BI28*'SCORING METHOD'!$C$11,1)</f>
        <v>49.9</v>
      </c>
      <c r="BK28" s="15" t="n">
        <f aca="false">IF(AE28="",0,MAX(0,MIN(1,(LOG10(MAX(1,IF(X28="",AE28,MIN(AE28,X28))))-2)/4)))</f>
        <v>0.514273822403167</v>
      </c>
      <c r="BL28" s="15" t="n">
        <f aca="false">IF(AL28="",0,MAX(0,MIN(1,(LOG10(MAX(1,AL28))-3)/4)))</f>
        <v>0.429413465762041</v>
      </c>
      <c r="BM28" s="15" t="n">
        <f aca="false">IF(U28="",0,MIN(1,U28/14))</f>
        <v>0.857142857142857</v>
      </c>
      <c r="BN28" s="15" t="n">
        <f aca="false">IF(OR(P28="",K28="",N28="",M28="",M28=0),0,IF(AND('SCORING METHOD'!$C$5-P28&lt;=60,N28/M28&gt;=0.5),MAX(0,MIN(1,(LOG10(MAX(1,K28/MAX(1,'SCORING METHOD'!$C$5-P28)))-2)/2.5)),0))</f>
        <v>0</v>
      </c>
      <c r="BO28" s="15" t="n">
        <f aca="false">IF(S28="",0,MAX(0,MIN(1,1-(S28-3)/27)))</f>
        <v>1</v>
      </c>
      <c r="BP28" s="16" t="n">
        <f aca="false">ROUND(BK28*'SCORING METHOD'!$C$12+BL28*'SCORING METHOD'!$C$13+BM28*'SCORING METHOD'!$C$14+BN28*'SCORING METHOD'!$C$15+BO28*'SCORING METHOD'!$C$16,1)</f>
        <v>51.6</v>
      </c>
      <c r="BQ28" s="16" t="n">
        <f aca="false">ROUND((N(AZ28)+N(BA28)+N(BB28)+N(BC28))/20*100,1)</f>
        <v>60</v>
      </c>
      <c r="BR28" s="17" t="n">
        <f aca="false">IFERROR(INDEX('DATA SUFFICIENCY'!$J$2:$J$63,MATCH(C28,'DATA SUFFICIENCY'!$B$2:$B$63,0)),0)</f>
        <v>0.9</v>
      </c>
      <c r="BS28" s="16" t="n">
        <f aca="false">ROUND('SCORING METHOD'!$C$17*BJ28+'SCORING METHOD'!$C$18*BP28+'SCORING METHOD'!$C$19*BQ28+'SCORING METHOD'!$C$20*BR28*100,1)</f>
        <v>58.4</v>
      </c>
      <c r="BT28" s="15" t="n">
        <f aca="false">IF(F28="INCLUDED",BJ28+(1000-ROW())/100000,-1)</f>
        <v>49.90972</v>
      </c>
      <c r="BU28" s="15" t="n">
        <f aca="false">IF(F28="INCLUDED",BP28+(1000-ROW())/100000,-1)</f>
        <v>51.60972</v>
      </c>
      <c r="BV28" s="15" t="n">
        <f aca="false">IF(F28="INCLUDED",BQ28+(1000-ROW())/100000,-1)</f>
        <v>60.00972</v>
      </c>
      <c r="BW28" s="15" t="n">
        <f aca="false">IF(F28="INCLUDED",BS28+(1000-ROW())/100000,-1)</f>
        <v>58.40972</v>
      </c>
      <c r="BX28" s="2" t="s">
        <v>636</v>
      </c>
    </row>
    <row r="29" customFormat="false" ht="15" hidden="false" customHeight="false" outlineLevel="0" collapsed="false">
      <c r="A29" s="2" t="n">
        <v>28</v>
      </c>
      <c r="B29" s="2" t="s">
        <v>637</v>
      </c>
      <c r="C29" s="2" t="s">
        <v>638</v>
      </c>
      <c r="D29" s="3" t="s">
        <v>639</v>
      </c>
      <c r="E29" s="2" t="s">
        <v>350</v>
      </c>
      <c r="F29" s="2" t="s">
        <v>275</v>
      </c>
      <c r="G29" s="2"/>
      <c r="H29" s="2" t="s">
        <v>640</v>
      </c>
      <c r="I29" s="2" t="s">
        <v>641</v>
      </c>
      <c r="J29" s="2" t="s">
        <v>352</v>
      </c>
      <c r="K29" s="11" t="n">
        <v>2247629</v>
      </c>
      <c r="L29" s="11"/>
      <c r="M29" s="11" t="n">
        <v>1501</v>
      </c>
      <c r="N29" s="2" t="n">
        <v>22</v>
      </c>
      <c r="O29" s="2" t="s">
        <v>642</v>
      </c>
      <c r="P29" s="12" t="n">
        <v>46125</v>
      </c>
      <c r="Q29" s="2" t="s">
        <v>643</v>
      </c>
      <c r="R29" s="12" t="n">
        <v>46301</v>
      </c>
      <c r="S29" s="2" t="n">
        <f aca="false">IF(R29="","",'SCORING METHOD'!$C$5-R29)</f>
        <v>3</v>
      </c>
      <c r="T29" s="2" t="n">
        <v>2</v>
      </c>
      <c r="U29" s="2" t="n">
        <v>2</v>
      </c>
      <c r="V29" s="2" t="n">
        <v>3</v>
      </c>
      <c r="W29" s="2" t="n">
        <f aca="false">IF(U29="","",U29/2)</f>
        <v>1</v>
      </c>
      <c r="X29" s="11" t="n">
        <v>1102</v>
      </c>
      <c r="Y29" s="11" t="n">
        <v>949</v>
      </c>
      <c r="Z29" s="11" t="n">
        <v>78</v>
      </c>
      <c r="AA29" s="11" t="n">
        <v>72</v>
      </c>
      <c r="AB29" s="2" t="n">
        <v>3</v>
      </c>
      <c r="AC29" s="13" t="n">
        <f aca="false">IF(OR(X29="",K29="",K29=0),"",(X29+N(Z29))/K29)</f>
        <v>0.00052499767532809</v>
      </c>
      <c r="AD29" s="2" t="str">
        <f aca="false">IF(AC29="","UNKNOWN",IF(AC29&gt;=0.05,"Very high",IF(AC29&gt;=0.02,"High",IF(AC29&gt;=0.005,"Medium","Low"))))</f>
        <v>Low</v>
      </c>
      <c r="AE29" s="11" t="n">
        <v>901</v>
      </c>
      <c r="AF29" s="11" t="n">
        <v>68</v>
      </c>
      <c r="AG29" s="11" t="n">
        <v>3799</v>
      </c>
      <c r="AH29" s="3" t="s">
        <v>644</v>
      </c>
      <c r="AI29" s="12" t="n">
        <v>46125</v>
      </c>
      <c r="AJ29" s="11" t="n">
        <v>57</v>
      </c>
      <c r="AK29" s="2" t="s">
        <v>645</v>
      </c>
      <c r="AL29" s="11" t="n">
        <v>1028</v>
      </c>
      <c r="AM29" s="3" t="s">
        <v>646</v>
      </c>
      <c r="AN29" s="12" t="n">
        <v>46301</v>
      </c>
      <c r="AO29" s="2" t="s">
        <v>647</v>
      </c>
      <c r="AP29" s="2"/>
      <c r="AQ29" s="2" t="s">
        <v>315</v>
      </c>
      <c r="AR29" s="2"/>
      <c r="AS29" s="2" t="s">
        <v>101</v>
      </c>
      <c r="AT29" s="2" t="s">
        <v>648</v>
      </c>
      <c r="AU29" s="2" t="s">
        <v>649</v>
      </c>
      <c r="AV29" s="2" t="s">
        <v>650</v>
      </c>
      <c r="AW29" s="2" t="s">
        <v>651</v>
      </c>
      <c r="AX29" s="2" t="s">
        <v>652</v>
      </c>
      <c r="AY29" s="14" t="n">
        <v>5</v>
      </c>
      <c r="AZ29" s="14" t="n">
        <v>5</v>
      </c>
      <c r="BA29" s="14" t="n">
        <v>5</v>
      </c>
      <c r="BB29" s="14" t="n">
        <v>5</v>
      </c>
      <c r="BC29" s="14" t="n">
        <v>3</v>
      </c>
      <c r="BD29" s="15" t="n">
        <f aca="false">IF(K29="",0,MAX(0,MIN(1,(LOG10(MAX(1,K29))-3)/4)))</f>
        <v>0.837931156734289</v>
      </c>
      <c r="BE29" s="15" t="n">
        <f aca="false">IF(X29="",0,MAX(0,MIN(1,(LOG10(MAX(1,X29))-2)/4)))</f>
        <v>0.260545398628942</v>
      </c>
      <c r="BF29" s="15" t="n">
        <f aca="false">IF(AG29="",0,MAX(0,MIN(1,(LOG10(MAX(1,AG29))-3)/4)))</f>
        <v>0.14491732338868</v>
      </c>
      <c r="BG29" s="15" t="n">
        <f aca="false">IF(V29="",0,MIN(1,V29/20))</f>
        <v>0.15</v>
      </c>
      <c r="BH29" s="15" t="n">
        <f aca="false">MAX(IF(P29="",0,MIN(1,('SCORING METHOD'!$C$5-P29)/730)),IF(M29="",0,MAX(0,MIN(1,(LOG10(MAX(1,M29))-1)/2.5))))</f>
        <v>0.870552276897308</v>
      </c>
      <c r="BI29" s="15" t="n">
        <f aca="false">IF(J29="Y",0.4,0)+0.6*N(AY29)/5</f>
        <v>1</v>
      </c>
      <c r="BJ29" s="16" t="n">
        <f aca="false">ROUND(BD29*'SCORING METHOD'!$C$6+BE29*'SCORING METHOD'!$C$7+BF29*'SCORING METHOD'!$C$8+BG29*'SCORING METHOD'!$C$9+BH29*'SCORING METHOD'!$C$10+BI29*'SCORING METHOD'!$C$11,1)</f>
        <v>53.5</v>
      </c>
      <c r="BK29" s="15" t="n">
        <f aca="false">IF(AE29="",0,MAX(0,MIN(1,(LOG10(MAX(1,IF(X29="",AE29,MIN(AE29,X29))))-2)/4)))</f>
        <v>0.238681197744766</v>
      </c>
      <c r="BL29" s="15" t="n">
        <f aca="false">IF(AL29="",0,MAX(0,MIN(1,(LOG10(MAX(1,AL29))-3)/4)))</f>
        <v>0.00299827866481428</v>
      </c>
      <c r="BM29" s="15" t="n">
        <f aca="false">IF(U29="",0,MIN(1,U29/14))</f>
        <v>0.142857142857143</v>
      </c>
      <c r="BN29" s="15" t="n">
        <f aca="false">IF(OR(P29="",K29="",N29="",M29="",M29=0),0,IF(AND('SCORING METHOD'!$C$5-P29&lt;=60,N29/M29&gt;=0.5),MAX(0,MIN(1,(LOG10(MAX(1,K29/MAX(1,'SCORING METHOD'!$C$5-P29)))-2)/2.5)),0))</f>
        <v>0</v>
      </c>
      <c r="BO29" s="15" t="n">
        <f aca="false">IF(S29="",0,MAX(0,MIN(1,1-(S29-3)/27)))</f>
        <v>1</v>
      </c>
      <c r="BP29" s="16" t="n">
        <f aca="false">ROUND(BK29*'SCORING METHOD'!$C$12+BL29*'SCORING METHOD'!$C$13+BM29*'SCORING METHOD'!$C$14+BN29*'SCORING METHOD'!$C$15+BO29*'SCORING METHOD'!$C$16,1)</f>
        <v>20.6</v>
      </c>
      <c r="BQ29" s="16" t="n">
        <f aca="false">ROUND((N(AZ29)+N(BA29)+N(BB29)+N(BC29))/20*100,1)</f>
        <v>90</v>
      </c>
      <c r="BR29" s="17" t="n">
        <f aca="false">IFERROR(INDEX('DATA SUFFICIENCY'!$J$2:$J$63,MATCH(C29,'DATA SUFFICIENCY'!$B$2:$B$63,0)),0)</f>
        <v>0.7</v>
      </c>
      <c r="BS29" s="16" t="n">
        <f aca="false">ROUND('SCORING METHOD'!$C$17*BJ29+'SCORING METHOD'!$C$18*BP29+'SCORING METHOD'!$C$19*BQ29+'SCORING METHOD'!$C$20*BR29*100,1)</f>
        <v>53.4</v>
      </c>
      <c r="BT29" s="15" t="n">
        <f aca="false">IF(F29="INCLUDED",BJ29+(1000-ROW())/100000,-1)</f>
        <v>53.50971</v>
      </c>
      <c r="BU29" s="15" t="n">
        <f aca="false">IF(F29="INCLUDED",BP29+(1000-ROW())/100000,-1)</f>
        <v>20.60971</v>
      </c>
      <c r="BV29" s="15" t="n">
        <f aca="false">IF(F29="INCLUDED",BQ29+(1000-ROW())/100000,-1)</f>
        <v>90.00971</v>
      </c>
      <c r="BW29" s="15" t="n">
        <f aca="false">IF(F29="INCLUDED",BS29+(1000-ROW())/100000,-1)</f>
        <v>53.40971</v>
      </c>
      <c r="BX29" s="2" t="s">
        <v>653</v>
      </c>
    </row>
    <row r="30" customFormat="false" ht="15" hidden="false" customHeight="false" outlineLevel="0" collapsed="false">
      <c r="A30" s="2" t="n">
        <v>29</v>
      </c>
      <c r="B30" s="2" t="s">
        <v>654</v>
      </c>
      <c r="C30" s="2" t="s">
        <v>655</v>
      </c>
      <c r="D30" s="3" t="s">
        <v>656</v>
      </c>
      <c r="E30" s="2" t="s">
        <v>350</v>
      </c>
      <c r="F30" s="2" t="s">
        <v>275</v>
      </c>
      <c r="G30" s="2"/>
      <c r="H30" s="2" t="s">
        <v>657</v>
      </c>
      <c r="I30" s="2" t="s">
        <v>658</v>
      </c>
      <c r="J30" s="2" t="s">
        <v>352</v>
      </c>
      <c r="K30" s="11" t="n">
        <v>2170103</v>
      </c>
      <c r="L30" s="11"/>
      <c r="M30" s="11" t="n">
        <v>212</v>
      </c>
      <c r="N30" s="2" t="n">
        <v>22</v>
      </c>
      <c r="O30" s="2" t="s">
        <v>659</v>
      </c>
      <c r="P30" s="12" t="n">
        <v>45849</v>
      </c>
      <c r="Q30" s="2" t="s">
        <v>404</v>
      </c>
      <c r="R30" s="12" t="n">
        <v>46303</v>
      </c>
      <c r="S30" s="2" t="n">
        <f aca="false">IF(R30="","",'SCORING METHOD'!$C$5-R30)</f>
        <v>1</v>
      </c>
      <c r="T30" s="2" t="n">
        <v>13</v>
      </c>
      <c r="U30" s="2" t="n">
        <v>20</v>
      </c>
      <c r="V30" s="2" t="n">
        <v>20</v>
      </c>
      <c r="W30" s="2" t="n">
        <f aca="false">IF(U30="","",U30/2)</f>
        <v>10</v>
      </c>
      <c r="X30" s="11" t="n">
        <v>12268</v>
      </c>
      <c r="Y30" s="11" t="n">
        <v>2621</v>
      </c>
      <c r="Z30" s="11" t="n">
        <v>157</v>
      </c>
      <c r="AA30" s="11" t="n">
        <v>60</v>
      </c>
      <c r="AB30" s="2" t="n">
        <v>1</v>
      </c>
      <c r="AC30" s="13" t="n">
        <f aca="false">IF(OR(X30="",K30="",K30=0),"",(X30+N(Z30))/K30)</f>
        <v>0.00572553468660243</v>
      </c>
      <c r="AD30" s="2" t="str">
        <f aca="false">IF(AC30="","UNKNOWN",IF(AC30&gt;=0.05,"Very high",IF(AC30&gt;=0.02,"High",IF(AC30&gt;=0.005,"Medium","Low"))))</f>
        <v>Medium</v>
      </c>
      <c r="AE30" s="11" t="n">
        <v>9534</v>
      </c>
      <c r="AF30" s="11" t="n">
        <v>128</v>
      </c>
      <c r="AG30" s="11" t="n">
        <v>1027957</v>
      </c>
      <c r="AH30" s="3" t="s">
        <v>660</v>
      </c>
      <c r="AI30" s="12" t="n">
        <v>45849</v>
      </c>
      <c r="AJ30" s="11" t="n">
        <v>19060</v>
      </c>
      <c r="AK30" s="2" t="s">
        <v>661</v>
      </c>
      <c r="AL30" s="11" t="n">
        <v>55078</v>
      </c>
      <c r="AM30" s="3" t="s">
        <v>662</v>
      </c>
      <c r="AN30" s="12" t="n">
        <v>46298</v>
      </c>
      <c r="AO30" s="2" t="s">
        <v>647</v>
      </c>
      <c r="AP30" s="2"/>
      <c r="AQ30" s="2" t="s">
        <v>315</v>
      </c>
      <c r="AR30" s="2"/>
      <c r="AS30" s="2" t="s">
        <v>101</v>
      </c>
      <c r="AT30" s="2" t="s">
        <v>663</v>
      </c>
      <c r="AU30" s="2" t="s">
        <v>664</v>
      </c>
      <c r="AV30" s="2" t="s">
        <v>665</v>
      </c>
      <c r="AW30" s="2" t="s">
        <v>364</v>
      </c>
      <c r="AX30" s="2" t="s">
        <v>666</v>
      </c>
      <c r="AY30" s="14" t="n">
        <v>5</v>
      </c>
      <c r="AZ30" s="14" t="n">
        <v>5</v>
      </c>
      <c r="BA30" s="14" t="n">
        <v>5</v>
      </c>
      <c r="BB30" s="14" t="n">
        <v>3</v>
      </c>
      <c r="BC30" s="14" t="n">
        <v>4</v>
      </c>
      <c r="BD30" s="15" t="n">
        <f aca="false">IF(K30="",0,MAX(0,MIN(1,(LOG10(MAX(1,K30))-3)/4)))</f>
        <v>0.834120086834258</v>
      </c>
      <c r="BE30" s="15" t="n">
        <f aca="false">IF(X30="",0,MAX(0,MIN(1,(LOG10(MAX(1,X30))-2)/4)))</f>
        <v>0.522193441827612</v>
      </c>
      <c r="BF30" s="15" t="n">
        <f aca="false">IF(AG30="",0,MAX(0,MIN(1,(LOG10(MAX(1,AG30))-3)/4)))</f>
        <v>0.752993737066249</v>
      </c>
      <c r="BG30" s="15" t="n">
        <f aca="false">IF(V30="",0,MIN(1,V30/20))</f>
        <v>1</v>
      </c>
      <c r="BH30" s="15" t="n">
        <f aca="false">MAX(IF(P30="",0,MIN(1,('SCORING METHOD'!$C$5-P30)/730)),IF(M30="",0,MAX(0,MIN(1,(LOG10(MAX(1,M30))-1)/2.5))))</f>
        <v>0.623287671232877</v>
      </c>
      <c r="BI30" s="15" t="n">
        <f aca="false">IF(J30="Y",0.4,0)+0.6*N(AY30)/5</f>
        <v>1</v>
      </c>
      <c r="BJ30" s="16" t="n">
        <f aca="false">ROUND(BD30*'SCORING METHOD'!$C$6+BE30*'SCORING METHOD'!$C$7+BF30*'SCORING METHOD'!$C$8+BG30*'SCORING METHOD'!$C$9+BH30*'SCORING METHOD'!$C$10+BI30*'SCORING METHOD'!$C$11,1)</f>
        <v>76.8</v>
      </c>
      <c r="BK30" s="15" t="n">
        <f aca="false">IF(AE30="",0,MAX(0,MIN(1,(LOG10(MAX(1,IF(X30="",AE30,MIN(AE30,X30))))-2)/4)))</f>
        <v>0.494818786897756</v>
      </c>
      <c r="BL30" s="15" t="n">
        <f aca="false">IF(AL30="",0,MAX(0,MIN(1,(LOG10(MAX(1,AL30))-3)/4)))</f>
        <v>0.435244540427386</v>
      </c>
      <c r="BM30" s="15" t="n">
        <f aca="false">IF(U30="",0,MIN(1,U30/14))</f>
        <v>1</v>
      </c>
      <c r="BN30" s="15" t="n">
        <f aca="false">IF(OR(P30="",K30="",N30="",M30="",M30=0),0,IF(AND('SCORING METHOD'!$C$5-P30&lt;=60,N30/M30&gt;=0.5),MAX(0,MIN(1,(LOG10(MAX(1,K30/MAX(1,'SCORING METHOD'!$C$5-P30)))-2)/2.5)),0))</f>
        <v>0</v>
      </c>
      <c r="BO30" s="15" t="n">
        <f aca="false">IF(S30="",0,MAX(0,MIN(1,1-(S30-3)/27)))</f>
        <v>1</v>
      </c>
      <c r="BP30" s="16" t="n">
        <f aca="false">ROUND(BK30*'SCORING METHOD'!$C$12+BL30*'SCORING METHOD'!$C$13+BM30*'SCORING METHOD'!$C$14+BN30*'SCORING METHOD'!$C$15+BO30*'SCORING METHOD'!$C$16,1)</f>
        <v>53.2</v>
      </c>
      <c r="BQ30" s="16" t="n">
        <f aca="false">ROUND((N(AZ30)+N(BA30)+N(BB30)+N(BC30))/20*100,1)</f>
        <v>85</v>
      </c>
      <c r="BR30" s="17" t="n">
        <f aca="false">IFERROR(INDEX('DATA SUFFICIENCY'!$J$2:$J$63,MATCH(C30,'DATA SUFFICIENCY'!$B$2:$B$63,0)),0)</f>
        <v>0.9</v>
      </c>
      <c r="BS30" s="16" t="n">
        <f aca="false">ROUND('SCORING METHOD'!$C$17*BJ30+'SCORING METHOD'!$C$18*BP30+'SCORING METHOD'!$C$19*BQ30+'SCORING METHOD'!$C$20*BR30*100,1)</f>
        <v>73.3</v>
      </c>
      <c r="BT30" s="15" t="n">
        <f aca="false">IF(F30="INCLUDED",BJ30+(1000-ROW())/100000,-1)</f>
        <v>76.8097</v>
      </c>
      <c r="BU30" s="15" t="n">
        <f aca="false">IF(F30="INCLUDED",BP30+(1000-ROW())/100000,-1)</f>
        <v>53.2097</v>
      </c>
      <c r="BV30" s="15" t="n">
        <f aca="false">IF(F30="INCLUDED",BQ30+(1000-ROW())/100000,-1)</f>
        <v>85.0097</v>
      </c>
      <c r="BW30" s="15" t="n">
        <f aca="false">IF(F30="INCLUDED",BS30+(1000-ROW())/100000,-1)</f>
        <v>73.3097</v>
      </c>
      <c r="BX30" s="2" t="s">
        <v>667</v>
      </c>
    </row>
    <row r="31" customFormat="false" ht="15" hidden="false" customHeight="false" outlineLevel="0" collapsed="false">
      <c r="A31" s="2" t="n">
        <v>30</v>
      </c>
      <c r="B31" s="2" t="s">
        <v>668</v>
      </c>
      <c r="C31" s="2" t="s">
        <v>669</v>
      </c>
      <c r="D31" s="3" t="s">
        <v>670</v>
      </c>
      <c r="E31" s="2" t="s">
        <v>350</v>
      </c>
      <c r="F31" s="2" t="s">
        <v>275</v>
      </c>
      <c r="G31" s="2"/>
      <c r="H31" s="2" t="s">
        <v>671</v>
      </c>
      <c r="I31" s="2" t="s">
        <v>658</v>
      </c>
      <c r="J31" s="2" t="s">
        <v>352</v>
      </c>
      <c r="K31" s="11" t="n">
        <v>120171</v>
      </c>
      <c r="L31" s="11"/>
      <c r="M31" s="11" t="n">
        <v>53</v>
      </c>
      <c r="N31" s="2" t="n">
        <v>12</v>
      </c>
      <c r="O31" s="2" t="s">
        <v>672</v>
      </c>
      <c r="P31" s="12" t="n">
        <v>45991</v>
      </c>
      <c r="Q31" s="2" t="s">
        <v>432</v>
      </c>
      <c r="R31" s="12" t="n">
        <v>46301</v>
      </c>
      <c r="S31" s="2" t="n">
        <f aca="false">IF(R31="","",'SCORING METHOD'!$C$5-R31)</f>
        <v>3</v>
      </c>
      <c r="T31" s="2" t="n">
        <v>1</v>
      </c>
      <c r="U31" s="2" t="n">
        <v>1</v>
      </c>
      <c r="V31" s="2" t="n">
        <v>1</v>
      </c>
      <c r="W31" s="2" t="n">
        <f aca="false">IF(U31="","",U31/2)</f>
        <v>0.5</v>
      </c>
      <c r="X31" s="11" t="n">
        <v>4399</v>
      </c>
      <c r="Y31" s="11" t="n">
        <v>625</v>
      </c>
      <c r="Z31" s="11" t="n">
        <v>67</v>
      </c>
      <c r="AA31" s="11" t="n">
        <v>19</v>
      </c>
      <c r="AB31" s="2" t="n">
        <v>0</v>
      </c>
      <c r="AC31" s="13" t="n">
        <f aca="false">IF(OR(X31="",K31="",K31=0),"",(X31+N(Z31))/K31)</f>
        <v>0.037163708382222</v>
      </c>
      <c r="AD31" s="2" t="str">
        <f aca="false">IF(AC31="","UNKNOWN",IF(AC31&gt;=0.05,"Very high",IF(AC31&gt;=0.02,"High",IF(AC31&gt;=0.005,"Medium","Low"))))</f>
        <v>High</v>
      </c>
      <c r="AE31" s="11" t="n">
        <v>625</v>
      </c>
      <c r="AF31" s="11" t="n">
        <v>19</v>
      </c>
      <c r="AG31" s="11" t="n">
        <v>14391</v>
      </c>
      <c r="AH31" s="3" t="s">
        <v>673</v>
      </c>
      <c r="AI31" s="12" t="n">
        <v>46033</v>
      </c>
      <c r="AJ31" s="11" t="n">
        <v>148</v>
      </c>
      <c r="AK31" s="2" t="s">
        <v>674</v>
      </c>
      <c r="AL31" s="11" t="n">
        <v>625</v>
      </c>
      <c r="AM31" s="3" t="s">
        <v>675</v>
      </c>
      <c r="AN31" s="12" t="n">
        <v>46301</v>
      </c>
      <c r="AO31" s="2" t="s">
        <v>676</v>
      </c>
      <c r="AP31" s="2"/>
      <c r="AQ31" s="2" t="s">
        <v>315</v>
      </c>
      <c r="AR31" s="2"/>
      <c r="AS31" s="2" t="s">
        <v>101</v>
      </c>
      <c r="AT31" s="2" t="s">
        <v>677</v>
      </c>
      <c r="AU31" s="2" t="s">
        <v>678</v>
      </c>
      <c r="AV31" s="2" t="s">
        <v>101</v>
      </c>
      <c r="AW31" s="2" t="s">
        <v>364</v>
      </c>
      <c r="AX31" s="2" t="s">
        <v>679</v>
      </c>
      <c r="AY31" s="14" t="n">
        <v>2</v>
      </c>
      <c r="AZ31" s="14" t="n">
        <v>4</v>
      </c>
      <c r="BA31" s="14" t="n">
        <v>4</v>
      </c>
      <c r="BB31" s="14" t="n">
        <v>2</v>
      </c>
      <c r="BC31" s="14" t="n">
        <v>4</v>
      </c>
      <c r="BD31" s="15" t="n">
        <f aca="false">IF(K31="",0,MAX(0,MIN(1,(LOG10(MAX(1,K31))-3)/4)))</f>
        <v>0.519949918789543</v>
      </c>
      <c r="BE31" s="15" t="n">
        <f aca="false">IF(X31="",0,MAX(0,MIN(1,(LOG10(MAX(1,X31))-2)/4)))</f>
        <v>0.410838490494216</v>
      </c>
      <c r="BF31" s="15" t="n">
        <f aca="false">IF(AG31="",0,MAX(0,MIN(1,(LOG10(MAX(1,AG31))-3)/4)))</f>
        <v>0.28952274329639</v>
      </c>
      <c r="BG31" s="15" t="n">
        <f aca="false">IF(V31="",0,MIN(1,V31/20))</f>
        <v>0.05</v>
      </c>
      <c r="BH31" s="15" t="n">
        <f aca="false">MAX(IF(P31="",0,MIN(1,('SCORING METHOD'!$C$5-P31)/730)),IF(M31="",0,MAX(0,MIN(1,(LOG10(MAX(1,M31))-1)/2.5))))</f>
        <v>0.428767123287671</v>
      </c>
      <c r="BI31" s="15" t="n">
        <f aca="false">IF(J31="Y",0.4,0)+0.6*N(AY31)/5</f>
        <v>0.64</v>
      </c>
      <c r="BJ31" s="16" t="n">
        <f aca="false">ROUND(BD31*'SCORING METHOD'!$C$6+BE31*'SCORING METHOD'!$C$7+BF31*'SCORING METHOD'!$C$8+BG31*'SCORING METHOD'!$C$9+BH31*'SCORING METHOD'!$C$10+BI31*'SCORING METHOD'!$C$11,1)</f>
        <v>40.8</v>
      </c>
      <c r="BK31" s="15" t="n">
        <f aca="false">IF(AE31="",0,MAX(0,MIN(1,(LOG10(MAX(1,IF(X31="",AE31,MIN(AE31,X31))))-2)/4)))</f>
        <v>0.198970004336019</v>
      </c>
      <c r="BL31" s="15" t="n">
        <f aca="false">IF(AL31="",0,MAX(0,MIN(1,(LOG10(MAX(1,AL31))-3)/4)))</f>
        <v>0</v>
      </c>
      <c r="BM31" s="15" t="n">
        <f aca="false">IF(U31="",0,MIN(1,U31/14))</f>
        <v>0.0714285714285714</v>
      </c>
      <c r="BN31" s="15" t="n">
        <f aca="false">IF(OR(P31="",K31="",N31="",M31="",M31=0),0,IF(AND('SCORING METHOD'!$C$5-P31&lt;=60,N31/M31&gt;=0.5),MAX(0,MIN(1,(LOG10(MAX(1,K31/MAX(1,'SCORING METHOD'!$C$5-P31)))-2)/2.5)),0))</f>
        <v>0</v>
      </c>
      <c r="BO31" s="15" t="n">
        <f aca="false">IF(S31="",0,MAX(0,MIN(1,1-(S31-3)/27)))</f>
        <v>1</v>
      </c>
      <c r="BP31" s="16" t="n">
        <f aca="false">ROUND(BK31*'SCORING METHOD'!$C$12+BL31*'SCORING METHOD'!$C$13+BM31*'SCORING METHOD'!$C$14+BN31*'SCORING METHOD'!$C$15+BO31*'SCORING METHOD'!$C$16,1)</f>
        <v>18</v>
      </c>
      <c r="BQ31" s="16" t="n">
        <f aca="false">ROUND((N(AZ31)+N(BA31)+N(BB31)+N(BC31))/20*100,1)</f>
        <v>70</v>
      </c>
      <c r="BR31" s="17" t="n">
        <f aca="false">IFERROR(INDEX('DATA SUFFICIENCY'!$J$2:$J$63,MATCH(C31,'DATA SUFFICIENCY'!$B$2:$B$63,0)),0)</f>
        <v>0.9</v>
      </c>
      <c r="BS31" s="16" t="n">
        <f aca="false">ROUND('SCORING METHOD'!$C$17*BJ31+'SCORING METHOD'!$C$18*BP31+'SCORING METHOD'!$C$19*BQ31+'SCORING METHOD'!$C$20*BR31*100,1)</f>
        <v>47.2</v>
      </c>
      <c r="BT31" s="15" t="n">
        <f aca="false">IF(F31="INCLUDED",BJ31+(1000-ROW())/100000,-1)</f>
        <v>40.80969</v>
      </c>
      <c r="BU31" s="15" t="n">
        <f aca="false">IF(F31="INCLUDED",BP31+(1000-ROW())/100000,-1)</f>
        <v>18.00969</v>
      </c>
      <c r="BV31" s="15" t="n">
        <f aca="false">IF(F31="INCLUDED",BQ31+(1000-ROW())/100000,-1)</f>
        <v>70.00969</v>
      </c>
      <c r="BW31" s="15" t="n">
        <f aca="false">IF(F31="INCLUDED",BS31+(1000-ROW())/100000,-1)</f>
        <v>47.20969</v>
      </c>
      <c r="BX31" s="2" t="s">
        <v>680</v>
      </c>
    </row>
    <row r="32" customFormat="false" ht="15" hidden="false" customHeight="false" outlineLevel="0" collapsed="false">
      <c r="A32" s="2" t="n">
        <v>31</v>
      </c>
      <c r="B32" s="2" t="s">
        <v>681</v>
      </c>
      <c r="C32" s="2" t="s">
        <v>682</v>
      </c>
      <c r="D32" s="3" t="s">
        <v>683</v>
      </c>
      <c r="E32" s="2" t="s">
        <v>350</v>
      </c>
      <c r="F32" s="2" t="s">
        <v>275</v>
      </c>
      <c r="G32" s="2"/>
      <c r="H32" s="2" t="s">
        <v>684</v>
      </c>
      <c r="I32" s="2" t="s">
        <v>685</v>
      </c>
      <c r="J32" s="2" t="s">
        <v>352</v>
      </c>
      <c r="K32" s="11" t="n">
        <v>7346848</v>
      </c>
      <c r="L32" s="11"/>
      <c r="M32" s="11" t="n">
        <v>743</v>
      </c>
      <c r="N32" s="2" t="n">
        <v>22</v>
      </c>
      <c r="O32" s="2" t="s">
        <v>686</v>
      </c>
      <c r="P32" s="12" t="n">
        <v>46213</v>
      </c>
      <c r="Q32" s="2" t="s">
        <v>389</v>
      </c>
      <c r="R32" s="12" t="n">
        <v>46301</v>
      </c>
      <c r="S32" s="2" t="n">
        <f aca="false">IF(R32="","",'SCORING METHOD'!$C$5-R32)</f>
        <v>3</v>
      </c>
      <c r="T32" s="2" t="n">
        <v>2</v>
      </c>
      <c r="U32" s="2" t="n">
        <v>3</v>
      </c>
      <c r="V32" s="2" t="n">
        <v>7</v>
      </c>
      <c r="W32" s="2" t="n">
        <f aca="false">IF(U32="","",U32/2)</f>
        <v>1.5</v>
      </c>
      <c r="X32" s="11" t="n">
        <v>99531</v>
      </c>
      <c r="Y32" s="11" t="n">
        <v>67039</v>
      </c>
      <c r="Z32" s="11" t="n">
        <v>648</v>
      </c>
      <c r="AA32" s="11" t="n">
        <v>530</v>
      </c>
      <c r="AB32" s="2" t="n">
        <v>0</v>
      </c>
      <c r="AC32" s="13" t="n">
        <f aca="false">IF(OR(X32="",K32="",K32=0),"",(X32+N(Z32))/K32)</f>
        <v>0.0136356434759505</v>
      </c>
      <c r="AD32" s="2" t="str">
        <f aca="false">IF(AC32="","UNKNOWN",IF(AC32&gt;=0.05,"Very high",IF(AC32&gt;=0.02,"High",IF(AC32&gt;=0.005,"Medium","Low"))))</f>
        <v>Medium</v>
      </c>
      <c r="AE32" s="11" t="n">
        <v>25533</v>
      </c>
      <c r="AF32" s="11" t="n">
        <v>249</v>
      </c>
      <c r="AG32" s="11" t="n">
        <v>565164</v>
      </c>
      <c r="AH32" s="3" t="s">
        <v>687</v>
      </c>
      <c r="AI32" s="12" t="n">
        <v>46226</v>
      </c>
      <c r="AJ32" s="11" t="n">
        <v>2455</v>
      </c>
      <c r="AK32" s="2" t="s">
        <v>688</v>
      </c>
      <c r="AL32" s="11" t="n">
        <v>29084</v>
      </c>
      <c r="AM32" s="3" t="s">
        <v>689</v>
      </c>
      <c r="AN32" s="12" t="n">
        <v>46293</v>
      </c>
      <c r="AO32" s="2" t="s">
        <v>647</v>
      </c>
      <c r="AP32" s="2"/>
      <c r="AQ32" s="2" t="s">
        <v>315</v>
      </c>
      <c r="AR32" s="2"/>
      <c r="AS32" s="2" t="s">
        <v>101</v>
      </c>
      <c r="AT32" s="2" t="s">
        <v>690</v>
      </c>
      <c r="AU32" s="2" t="s">
        <v>691</v>
      </c>
      <c r="AV32" s="2" t="s">
        <v>692</v>
      </c>
      <c r="AW32" s="2" t="s">
        <v>364</v>
      </c>
      <c r="AX32" s="2" t="s">
        <v>693</v>
      </c>
      <c r="AY32" s="14" t="n">
        <v>5</v>
      </c>
      <c r="AZ32" s="14" t="n">
        <v>5</v>
      </c>
      <c r="BA32" s="14" t="n">
        <v>4</v>
      </c>
      <c r="BB32" s="14" t="n">
        <v>2</v>
      </c>
      <c r="BC32" s="14" t="n">
        <v>2</v>
      </c>
      <c r="BD32" s="15" t="n">
        <f aca="false">IF(K32="",0,MAX(0,MIN(1,(LOG10(MAX(1,K32))-3)/4)))</f>
        <v>0.966525263689006</v>
      </c>
      <c r="BE32" s="15" t="n">
        <f aca="false">IF(X32="",0,MAX(0,MIN(1,(LOG10(MAX(1,X32))-2)/4)))</f>
        <v>0.749489591875133</v>
      </c>
      <c r="BF32" s="15" t="n">
        <f aca="false">IF(AG32="",0,MAX(0,MIN(1,(LOG10(MAX(1,AG32))-3)/4)))</f>
        <v>0.688043622556654</v>
      </c>
      <c r="BG32" s="15" t="n">
        <f aca="false">IF(V32="",0,MIN(1,V32/20))</f>
        <v>0.35</v>
      </c>
      <c r="BH32" s="15" t="n">
        <f aca="false">MAX(IF(P32="",0,MIN(1,('SCORING METHOD'!$C$5-P32)/730)),IF(M32="",0,MAX(0,MIN(1,(LOG10(MAX(1,M32))-1)/2.5))))</f>
        <v>0.74839552550423</v>
      </c>
      <c r="BI32" s="15" t="n">
        <f aca="false">IF(J32="Y",0.4,0)+0.6*N(AY32)/5</f>
        <v>1</v>
      </c>
      <c r="BJ32" s="16" t="n">
        <f aca="false">ROUND(BD32*'SCORING METHOD'!$C$6+BE32*'SCORING METHOD'!$C$7+BF32*'SCORING METHOD'!$C$8+BG32*'SCORING METHOD'!$C$9+BH32*'SCORING METHOD'!$C$10+BI32*'SCORING METHOD'!$C$11,1)</f>
        <v>78.7</v>
      </c>
      <c r="BK32" s="15" t="n">
        <f aca="false">IF(AE32="",0,MAX(0,MIN(1,(LOG10(MAX(1,IF(X32="",AE32,MIN(AE32,X32))))-2)/4)))</f>
        <v>0.601775461308794</v>
      </c>
      <c r="BL32" s="15" t="n">
        <f aca="false">IF(AL32="",0,MAX(0,MIN(1,(LOG10(MAX(1,AL32))-3)/4)))</f>
        <v>0.365913533992957</v>
      </c>
      <c r="BM32" s="15" t="n">
        <f aca="false">IF(U32="",0,MIN(1,U32/14))</f>
        <v>0.214285714285714</v>
      </c>
      <c r="BN32" s="15" t="n">
        <f aca="false">IF(OR(P32="",K32="",N32="",M32="",M32=0),0,IF(AND('SCORING METHOD'!$C$5-P32&lt;=60,N32/M32&gt;=0.5),MAX(0,MIN(1,(LOG10(MAX(1,K32/MAX(1,'SCORING METHOD'!$C$5-P32)))-2)/2.5)),0))</f>
        <v>0</v>
      </c>
      <c r="BO32" s="15" t="n">
        <f aca="false">IF(S32="",0,MAX(0,MIN(1,1-(S32-3)/27)))</f>
        <v>1</v>
      </c>
      <c r="BP32" s="16" t="n">
        <f aca="false">ROUND(BK32*'SCORING METHOD'!$C$12+BL32*'SCORING METHOD'!$C$13+BM32*'SCORING METHOD'!$C$14+BN32*'SCORING METHOD'!$C$15+BO32*'SCORING METHOD'!$C$16,1)</f>
        <v>43.4</v>
      </c>
      <c r="BQ32" s="16" t="n">
        <f aca="false">ROUND((N(AZ32)+N(BA32)+N(BB32)+N(BC32))/20*100,1)</f>
        <v>65</v>
      </c>
      <c r="BR32" s="17" t="n">
        <f aca="false">IFERROR(INDEX('DATA SUFFICIENCY'!$J$2:$J$63,MATCH(C32,'DATA SUFFICIENCY'!$B$2:$B$63,0)),0)</f>
        <v>0.8</v>
      </c>
      <c r="BS32" s="16" t="n">
        <f aca="false">ROUND('SCORING METHOD'!$C$17*BJ32+'SCORING METHOD'!$C$18*BP32+'SCORING METHOD'!$C$19*BQ32+'SCORING METHOD'!$C$20*BR32*100,1)</f>
        <v>65.6</v>
      </c>
      <c r="BT32" s="15" t="n">
        <f aca="false">IF(F32="INCLUDED",BJ32+(1000-ROW())/100000,-1)</f>
        <v>78.70968</v>
      </c>
      <c r="BU32" s="15" t="n">
        <f aca="false">IF(F32="INCLUDED",BP32+(1000-ROW())/100000,-1)</f>
        <v>43.40968</v>
      </c>
      <c r="BV32" s="15" t="n">
        <f aca="false">IF(F32="INCLUDED",BQ32+(1000-ROW())/100000,-1)</f>
        <v>65.00968</v>
      </c>
      <c r="BW32" s="15" t="n">
        <f aca="false">IF(F32="INCLUDED",BS32+(1000-ROW())/100000,-1)</f>
        <v>65.60968</v>
      </c>
      <c r="BX32" s="2" t="s">
        <v>694</v>
      </c>
    </row>
    <row r="33" customFormat="false" ht="15" hidden="false" customHeight="false" outlineLevel="0" collapsed="false">
      <c r="A33" s="2" t="n">
        <v>32</v>
      </c>
      <c r="B33" s="2" t="s">
        <v>695</v>
      </c>
      <c r="C33" s="2" t="s">
        <v>696</v>
      </c>
      <c r="D33" s="3" t="s">
        <v>697</v>
      </c>
      <c r="E33" s="2" t="s">
        <v>350</v>
      </c>
      <c r="F33" s="2" t="s">
        <v>275</v>
      </c>
      <c r="G33" s="2"/>
      <c r="H33" s="2" t="s">
        <v>698</v>
      </c>
      <c r="I33" s="2" t="s">
        <v>641</v>
      </c>
      <c r="J33" s="2" t="s">
        <v>352</v>
      </c>
      <c r="K33" s="11" t="n">
        <v>404112</v>
      </c>
      <c r="L33" s="11"/>
      <c r="M33" s="11" t="n">
        <v>375</v>
      </c>
      <c r="N33" s="2" t="n">
        <v>22</v>
      </c>
      <c r="O33" s="2" t="s">
        <v>699</v>
      </c>
      <c r="P33" s="12" t="n">
        <v>46265</v>
      </c>
      <c r="Q33" s="2" t="s">
        <v>389</v>
      </c>
      <c r="R33" s="12" t="n">
        <v>46302</v>
      </c>
      <c r="S33" s="2" t="n">
        <f aca="false">IF(R33="","",'SCORING METHOD'!$C$5-R33)</f>
        <v>2</v>
      </c>
      <c r="T33" s="2" t="n">
        <v>3</v>
      </c>
      <c r="U33" s="2" t="n">
        <v>4</v>
      </c>
      <c r="V33" s="2" t="n">
        <v>13</v>
      </c>
      <c r="W33" s="2" t="n">
        <f aca="false">IF(U33="","",U33/2)</f>
        <v>2</v>
      </c>
      <c r="X33" s="11" t="n">
        <v>985</v>
      </c>
      <c r="Y33" s="11" t="n">
        <v>811</v>
      </c>
      <c r="Z33" s="11" t="n">
        <v>86</v>
      </c>
      <c r="AA33" s="11" t="n">
        <v>96</v>
      </c>
      <c r="AB33" s="2" t="n">
        <v>3</v>
      </c>
      <c r="AC33" s="13" t="n">
        <f aca="false">IF(OR(X33="",K33="",K33=0),"",(X33+N(Z33))/K33)</f>
        <v>0.00265025537474759</v>
      </c>
      <c r="AD33" s="2" t="str">
        <f aca="false">IF(AC33="","UNKNOWN",IF(AC33&gt;=0.05,"Very high",IF(AC33&gt;=0.02,"High",IF(AC33&gt;=0.005,"Medium","Low"))))</f>
        <v>Low</v>
      </c>
      <c r="AE33" s="11" t="n">
        <v>1281</v>
      </c>
      <c r="AF33" s="11" t="n">
        <v>87</v>
      </c>
      <c r="AG33" s="11" t="n">
        <v>2697</v>
      </c>
      <c r="AH33" s="3" t="s">
        <v>700</v>
      </c>
      <c r="AI33" s="12" t="n">
        <v>46300</v>
      </c>
      <c r="AJ33" s="11" t="n">
        <v>127</v>
      </c>
      <c r="AK33" s="2" t="s">
        <v>701</v>
      </c>
      <c r="AL33" s="11" t="n">
        <v>2697</v>
      </c>
      <c r="AM33" s="3" t="s">
        <v>700</v>
      </c>
      <c r="AN33" s="12" t="n">
        <v>46300</v>
      </c>
      <c r="AO33" s="2" t="s">
        <v>647</v>
      </c>
      <c r="AP33" s="2"/>
      <c r="AQ33" s="2" t="s">
        <v>315</v>
      </c>
      <c r="AR33" s="2"/>
      <c r="AS33" s="2" t="s">
        <v>101</v>
      </c>
      <c r="AT33" s="2" t="s">
        <v>702</v>
      </c>
      <c r="AU33" s="2" t="s">
        <v>703</v>
      </c>
      <c r="AV33" s="2" t="s">
        <v>704</v>
      </c>
      <c r="AW33" s="2" t="s">
        <v>705</v>
      </c>
      <c r="AX33" s="2" t="s">
        <v>706</v>
      </c>
      <c r="AY33" s="14" t="n">
        <v>4</v>
      </c>
      <c r="AZ33" s="14" t="n">
        <v>4</v>
      </c>
      <c r="BA33" s="14" t="n">
        <v>3</v>
      </c>
      <c r="BB33" s="14" t="n">
        <v>2</v>
      </c>
      <c r="BC33" s="14" t="n">
        <v>1</v>
      </c>
      <c r="BD33" s="15" t="n">
        <f aca="false">IF(K33="",0,MAX(0,MIN(1,(LOG10(MAX(1,K33))-3)/4)))</f>
        <v>0.651625436723756</v>
      </c>
      <c r="BE33" s="15" t="n">
        <f aca="false">IF(X33="",0,MAX(0,MIN(1,(LOG10(MAX(1,X33))-2)/4)))</f>
        <v>0.248359057624403</v>
      </c>
      <c r="BF33" s="15" t="n">
        <f aca="false">IF(AG33="",0,MAX(0,MIN(1,(LOG10(MAX(1,AG33))-3)/4)))</f>
        <v>0.107720236613223</v>
      </c>
      <c r="BG33" s="15" t="n">
        <f aca="false">IF(V33="",0,MIN(1,V33/20))</f>
        <v>0.65</v>
      </c>
      <c r="BH33" s="15" t="n">
        <f aca="false">MAX(IF(P33="",0,MIN(1,('SCORING METHOD'!$C$5-P33)/730)),IF(M33="",0,MAX(0,MIN(1,(LOG10(MAX(1,M33))-1)/2.5))))</f>
        <v>0.629612507091088</v>
      </c>
      <c r="BI33" s="15" t="n">
        <f aca="false">IF(J33="Y",0.4,0)+0.6*N(AY33)/5</f>
        <v>0.88</v>
      </c>
      <c r="BJ33" s="16" t="n">
        <f aca="false">ROUND(BD33*'SCORING METHOD'!$C$6+BE33*'SCORING METHOD'!$C$7+BF33*'SCORING METHOD'!$C$8+BG33*'SCORING METHOD'!$C$9+BH33*'SCORING METHOD'!$C$10+BI33*'SCORING METHOD'!$C$11,1)</f>
        <v>48.3</v>
      </c>
      <c r="BK33" s="15" t="n">
        <f aca="false">IF(AE33="",0,MAX(0,MIN(1,(LOG10(MAX(1,IF(X33="",AE33,MIN(AE33,X33))))-2)/4)))</f>
        <v>0.248359057624403</v>
      </c>
      <c r="BL33" s="15" t="n">
        <f aca="false">IF(AL33="",0,MAX(0,MIN(1,(LOG10(MAX(1,AL33))-3)/4)))</f>
        <v>0.107720236613223</v>
      </c>
      <c r="BM33" s="15" t="n">
        <f aca="false">IF(U33="",0,MIN(1,U33/14))</f>
        <v>0.285714285714286</v>
      </c>
      <c r="BN33" s="15" t="n">
        <f aca="false">IF(OR(P33="",K33="",N33="",M33="",M33=0),0,IF(AND('SCORING METHOD'!$C$5-P33&lt;=60,N33/M33&gt;=0.5),MAX(0,MIN(1,(LOG10(MAX(1,K33/MAX(1,'SCORING METHOD'!$C$5-P33)))-2)/2.5)),0))</f>
        <v>0</v>
      </c>
      <c r="BO33" s="15" t="n">
        <f aca="false">IF(S33="",0,MAX(0,MIN(1,1-(S33-3)/27)))</f>
        <v>1</v>
      </c>
      <c r="BP33" s="16" t="n">
        <f aca="false">ROUND(BK33*'SCORING METHOD'!$C$12+BL33*'SCORING METHOD'!$C$13+BM33*'SCORING METHOD'!$C$14+BN33*'SCORING METHOD'!$C$15+BO33*'SCORING METHOD'!$C$16,1)</f>
        <v>25.7</v>
      </c>
      <c r="BQ33" s="16" t="n">
        <f aca="false">ROUND((N(AZ33)+N(BA33)+N(BB33)+N(BC33))/20*100,1)</f>
        <v>50</v>
      </c>
      <c r="BR33" s="17" t="n">
        <f aca="false">IFERROR(INDEX('DATA SUFFICIENCY'!$J$2:$J$63,MATCH(C33,'DATA SUFFICIENCY'!$B$2:$B$63,0)),0)</f>
        <v>0.7</v>
      </c>
      <c r="BS33" s="16" t="n">
        <f aca="false">ROUND('SCORING METHOD'!$C$17*BJ33+'SCORING METHOD'!$C$18*BP33+'SCORING METHOD'!$C$19*BQ33+'SCORING METHOD'!$C$20*BR33*100,1)</f>
        <v>45.1</v>
      </c>
      <c r="BT33" s="15" t="n">
        <f aca="false">IF(F33="INCLUDED",BJ33+(1000-ROW())/100000,-1)</f>
        <v>48.30967</v>
      </c>
      <c r="BU33" s="15" t="n">
        <f aca="false">IF(F33="INCLUDED",BP33+(1000-ROW())/100000,-1)</f>
        <v>25.70967</v>
      </c>
      <c r="BV33" s="15" t="n">
        <f aca="false">IF(F33="INCLUDED",BQ33+(1000-ROW())/100000,-1)</f>
        <v>50.00967</v>
      </c>
      <c r="BW33" s="15" t="n">
        <f aca="false">IF(F33="INCLUDED",BS33+(1000-ROW())/100000,-1)</f>
        <v>45.10967</v>
      </c>
      <c r="BX33" s="2" t="s">
        <v>707</v>
      </c>
    </row>
    <row r="34" customFormat="false" ht="15" hidden="false" customHeight="false" outlineLevel="0" collapsed="false">
      <c r="A34" s="2" t="n">
        <v>33</v>
      </c>
      <c r="B34" s="2" t="s">
        <v>708</v>
      </c>
      <c r="C34" s="2" t="s">
        <v>709</v>
      </c>
      <c r="D34" s="3" t="s">
        <v>710</v>
      </c>
      <c r="E34" s="2" t="s">
        <v>350</v>
      </c>
      <c r="F34" s="2" t="s">
        <v>275</v>
      </c>
      <c r="G34" s="2"/>
      <c r="H34" s="2" t="s">
        <v>711</v>
      </c>
      <c r="I34" s="2" t="s">
        <v>641</v>
      </c>
      <c r="J34" s="2" t="s">
        <v>352</v>
      </c>
      <c r="K34" s="11" t="n">
        <v>377813</v>
      </c>
      <c r="L34" s="11"/>
      <c r="M34" s="11" t="n">
        <v>967</v>
      </c>
      <c r="N34" s="2" t="n">
        <v>22</v>
      </c>
      <c r="O34" s="2" t="s">
        <v>712</v>
      </c>
      <c r="P34" s="12" t="n">
        <v>46212</v>
      </c>
      <c r="Q34" s="2" t="s">
        <v>389</v>
      </c>
      <c r="R34" s="12" t="n">
        <v>46302</v>
      </c>
      <c r="S34" s="2" t="n">
        <f aca="false">IF(R34="","",'SCORING METHOD'!$C$5-R34)</f>
        <v>2</v>
      </c>
      <c r="T34" s="2" t="n">
        <v>2</v>
      </c>
      <c r="U34" s="2" t="n">
        <v>2</v>
      </c>
      <c r="V34" s="2" t="n">
        <v>5</v>
      </c>
      <c r="W34" s="2" t="n">
        <f aca="false">IF(U34="","",U34/2)</f>
        <v>1</v>
      </c>
      <c r="X34" s="11"/>
      <c r="Y34" s="11"/>
      <c r="Z34" s="11" t="n">
        <v>58</v>
      </c>
      <c r="AA34" s="11" t="n">
        <v>46</v>
      </c>
      <c r="AB34" s="2" t="n">
        <v>11</v>
      </c>
      <c r="AC34" s="13" t="str">
        <f aca="false">IF(OR(X34="",K34="",K34=0),"",(X34+N(Z34))/K34)</f>
        <v/>
      </c>
      <c r="AD34" s="2" t="str">
        <f aca="false">IF(AC34="","UNKNOWN",IF(AC34&gt;=0.05,"Very high",IF(AC34&gt;=0.02,"High",IF(AC34&gt;=0.005,"Medium","Low"))))</f>
        <v>UNKNOWN</v>
      </c>
      <c r="AE34" s="11"/>
      <c r="AF34" s="11"/>
      <c r="AG34" s="11" t="n">
        <v>50556</v>
      </c>
      <c r="AH34" s="3" t="s">
        <v>713</v>
      </c>
      <c r="AI34" s="12" t="n">
        <v>46286</v>
      </c>
      <c r="AJ34" s="11" t="n">
        <v>126</v>
      </c>
      <c r="AK34" s="18" t="s">
        <v>714</v>
      </c>
      <c r="AL34" s="11"/>
      <c r="AM34" s="2"/>
      <c r="AN34" s="2"/>
      <c r="AO34" s="2" t="s">
        <v>647</v>
      </c>
      <c r="AP34" s="2"/>
      <c r="AQ34" s="2" t="s">
        <v>315</v>
      </c>
      <c r="AR34" s="2"/>
      <c r="AS34" s="2" t="s">
        <v>101</v>
      </c>
      <c r="AT34" s="2" t="s">
        <v>715</v>
      </c>
      <c r="AU34" s="2" t="s">
        <v>716</v>
      </c>
      <c r="AV34" s="2" t="s">
        <v>717</v>
      </c>
      <c r="AW34" s="2" t="s">
        <v>718</v>
      </c>
      <c r="AX34" s="2" t="s">
        <v>719</v>
      </c>
      <c r="AY34" s="14" t="n">
        <v>4</v>
      </c>
      <c r="AZ34" s="14" t="n">
        <v>5</v>
      </c>
      <c r="BA34" s="14" t="n">
        <v>3</v>
      </c>
      <c r="BB34" s="14" t="n">
        <v>3</v>
      </c>
      <c r="BC34" s="14" t="n">
        <v>2</v>
      </c>
      <c r="BD34" s="15" t="n">
        <f aca="false">IF(K34="",0,MAX(0,MIN(1,(LOG10(MAX(1,K34))-3)/4)))</f>
        <v>0.644319224322295</v>
      </c>
      <c r="BE34" s="15" t="n">
        <f aca="false">IF(X34="",0,MAX(0,MIN(1,(LOG10(MAX(1,X34))-2)/4)))</f>
        <v>0</v>
      </c>
      <c r="BF34" s="15" t="n">
        <f aca="false">IF(AG34="",0,MAX(0,MIN(1,(LOG10(MAX(1,AG34))-3)/4)))</f>
        <v>0.425943176293618</v>
      </c>
      <c r="BG34" s="15" t="n">
        <f aca="false">IF(V34="",0,MIN(1,V34/20))</f>
        <v>0.25</v>
      </c>
      <c r="BH34" s="15" t="n">
        <f aca="false">MAX(IF(P34="",0,MIN(1,('SCORING METHOD'!$C$5-P34)/730)),IF(M34="",0,MAX(0,MIN(1,(LOG10(MAX(1,M34))-1)/2.5))))</f>
        <v>0.794170589633201</v>
      </c>
      <c r="BI34" s="15" t="n">
        <f aca="false">IF(J34="Y",0.4,0)+0.6*N(AY34)/5</f>
        <v>0.88</v>
      </c>
      <c r="BJ34" s="16" t="n">
        <f aca="false">ROUND(BD34*'SCORING METHOD'!$C$6+BE34*'SCORING METHOD'!$C$7+BF34*'SCORING METHOD'!$C$8+BG34*'SCORING METHOD'!$C$9+BH34*'SCORING METHOD'!$C$10+BI34*'SCORING METHOD'!$C$11,1)</f>
        <v>47.1</v>
      </c>
      <c r="BK34" s="15" t="n">
        <f aca="false">IF(AE34="",0,MAX(0,MIN(1,(LOG10(MAX(1,IF(X34="",AE34,MIN(AE34,X34))))-2)/4)))</f>
        <v>0</v>
      </c>
      <c r="BL34" s="15" t="n">
        <f aca="false">IF(AL34="",0,MAX(0,MIN(1,(LOG10(MAX(1,AL34))-3)/4)))</f>
        <v>0</v>
      </c>
      <c r="BM34" s="15" t="n">
        <f aca="false">IF(U34="",0,MIN(1,U34/14))</f>
        <v>0.142857142857143</v>
      </c>
      <c r="BN34" s="15" t="n">
        <f aca="false">IF(OR(P34="",K34="",N34="",M34="",M34=0),0,IF(AND('SCORING METHOD'!$C$5-P34&lt;=60,N34/M34&gt;=0.5),MAX(0,MIN(1,(LOG10(MAX(1,K34/MAX(1,'SCORING METHOD'!$C$5-P34)))-2)/2.5)),0))</f>
        <v>0</v>
      </c>
      <c r="BO34" s="15" t="n">
        <f aca="false">IF(S34="",0,MAX(0,MIN(1,1-(S34-3)/27)))</f>
        <v>1</v>
      </c>
      <c r="BP34" s="16" t="n">
        <f aca="false">ROUND(BK34*'SCORING METHOD'!$C$12+BL34*'SCORING METHOD'!$C$13+BM34*'SCORING METHOD'!$C$14+BN34*'SCORING METHOD'!$C$15+BO34*'SCORING METHOD'!$C$16,1)</f>
        <v>12.1</v>
      </c>
      <c r="BQ34" s="16" t="n">
        <f aca="false">ROUND((N(AZ34)+N(BA34)+N(BB34)+N(BC34))/20*100,1)</f>
        <v>65</v>
      </c>
      <c r="BR34" s="17" t="n">
        <f aca="false">IFERROR(INDEX('DATA SUFFICIENCY'!$J$2:$J$63,MATCH(C34,'DATA SUFFICIENCY'!$B$2:$B$63,0)),0)</f>
        <v>0.7</v>
      </c>
      <c r="BS34" s="16" t="n">
        <f aca="false">ROUND('SCORING METHOD'!$C$17*BJ34+'SCORING METHOD'!$C$18*BP34+'SCORING METHOD'!$C$19*BQ34+'SCORING METHOD'!$C$20*BR34*100,1)</f>
        <v>43.6</v>
      </c>
      <c r="BT34" s="15" t="n">
        <f aca="false">IF(F34="INCLUDED",BJ34+(1000-ROW())/100000,-1)</f>
        <v>47.10966</v>
      </c>
      <c r="BU34" s="15" t="n">
        <f aca="false">IF(F34="INCLUDED",BP34+(1000-ROW())/100000,-1)</f>
        <v>12.10966</v>
      </c>
      <c r="BV34" s="15" t="n">
        <f aca="false">IF(F34="INCLUDED",BQ34+(1000-ROW())/100000,-1)</f>
        <v>65.00966</v>
      </c>
      <c r="BW34" s="15" t="n">
        <f aca="false">IF(F34="INCLUDED",BS34+(1000-ROW())/100000,-1)</f>
        <v>43.60966</v>
      </c>
      <c r="BX34" s="2" t="s">
        <v>720</v>
      </c>
    </row>
    <row r="35" customFormat="false" ht="15" hidden="false" customHeight="false" outlineLevel="0" collapsed="false">
      <c r="A35" s="2" t="n">
        <v>34</v>
      </c>
      <c r="B35" s="2" t="s">
        <v>721</v>
      </c>
      <c r="C35" s="2" t="s">
        <v>722</v>
      </c>
      <c r="D35" s="3" t="s">
        <v>723</v>
      </c>
      <c r="E35" s="2" t="s">
        <v>350</v>
      </c>
      <c r="F35" s="2" t="s">
        <v>275</v>
      </c>
      <c r="G35" s="2"/>
      <c r="H35" s="2" t="s">
        <v>724</v>
      </c>
      <c r="I35" s="2" t="s">
        <v>641</v>
      </c>
      <c r="J35" s="2" t="s">
        <v>352</v>
      </c>
      <c r="K35" s="11" t="n">
        <v>283021</v>
      </c>
      <c r="L35" s="11"/>
      <c r="M35" s="11" t="n">
        <v>154</v>
      </c>
      <c r="N35" s="2" t="n">
        <v>22</v>
      </c>
      <c r="O35" s="2" t="s">
        <v>725</v>
      </c>
      <c r="P35" s="12" t="n">
        <v>46224</v>
      </c>
      <c r="Q35" s="2" t="s">
        <v>389</v>
      </c>
      <c r="R35" s="12" t="n">
        <v>46296</v>
      </c>
      <c r="S35" s="2" t="n">
        <f aca="false">IF(R35="","",'SCORING METHOD'!$C$5-R35)</f>
        <v>8</v>
      </c>
      <c r="T35" s="2" t="n">
        <v>0</v>
      </c>
      <c r="U35" s="2" t="n">
        <v>1</v>
      </c>
      <c r="V35" s="2" t="n">
        <v>5</v>
      </c>
      <c r="W35" s="2" t="n">
        <f aca="false">IF(U35="","",U35/2)</f>
        <v>0.5</v>
      </c>
      <c r="X35" s="11" t="n">
        <v>1974</v>
      </c>
      <c r="Y35" s="11" t="n">
        <v>2012</v>
      </c>
      <c r="Z35" s="11" t="n">
        <v>108</v>
      </c>
      <c r="AA35" s="11" t="n">
        <v>93</v>
      </c>
      <c r="AB35" s="2" t="n">
        <v>0</v>
      </c>
      <c r="AC35" s="13" t="n">
        <f aca="false">IF(OR(X35="",K35="",K35=0),"",(X35+N(Z35))/K35)</f>
        <v>0.00735634458220415</v>
      </c>
      <c r="AD35" s="2" t="str">
        <f aca="false">IF(AC35="","UNKNOWN",IF(AC35&gt;=0.05,"Very high",IF(AC35&gt;=0.02,"High",IF(AC35&gt;=0.005,"Medium","Low"))))</f>
        <v>Medium</v>
      </c>
      <c r="AE35" s="11" t="n">
        <v>518</v>
      </c>
      <c r="AF35" s="11" t="n">
        <v>70</v>
      </c>
      <c r="AG35" s="11" t="n">
        <v>5376</v>
      </c>
      <c r="AH35" s="3" t="s">
        <v>726</v>
      </c>
      <c r="AI35" s="12" t="n">
        <v>46259</v>
      </c>
      <c r="AJ35" s="11" t="n">
        <v>228</v>
      </c>
      <c r="AK35" s="2" t="s">
        <v>727</v>
      </c>
      <c r="AL35" s="11" t="n">
        <v>518</v>
      </c>
      <c r="AM35" s="3" t="s">
        <v>728</v>
      </c>
      <c r="AN35" s="12" t="n">
        <v>46296</v>
      </c>
      <c r="AO35" s="2" t="s">
        <v>647</v>
      </c>
      <c r="AP35" s="2"/>
      <c r="AQ35" s="2" t="s">
        <v>315</v>
      </c>
      <c r="AR35" s="2"/>
      <c r="AS35" s="2" t="s">
        <v>101</v>
      </c>
      <c r="AT35" s="2" t="s">
        <v>729</v>
      </c>
      <c r="AU35" s="2" t="s">
        <v>730</v>
      </c>
      <c r="AV35" s="2" t="s">
        <v>731</v>
      </c>
      <c r="AW35" s="2" t="s">
        <v>732</v>
      </c>
      <c r="AX35" s="2" t="s">
        <v>733</v>
      </c>
      <c r="AY35" s="14" t="n">
        <v>4</v>
      </c>
      <c r="AZ35" s="14" t="n">
        <v>3</v>
      </c>
      <c r="BA35" s="14" t="n">
        <v>3</v>
      </c>
      <c r="BB35" s="14" t="n">
        <v>2</v>
      </c>
      <c r="BC35" s="14" t="n">
        <v>2</v>
      </c>
      <c r="BD35" s="15" t="n">
        <f aca="false">IF(K35="",0,MAX(0,MIN(1,(LOG10(MAX(1,K35))-3)/4)))</f>
        <v>0.612954665281916</v>
      </c>
      <c r="BE35" s="15" t="n">
        <f aca="false">IF(X35="",0,MAX(0,MIN(1,(LOG10(MAX(1,X35))-2)/4)))</f>
        <v>0.323836787083404</v>
      </c>
      <c r="BF35" s="15" t="n">
        <f aca="false">IF(AG35="",0,MAX(0,MIN(1,(LOG10(MAX(1,AG35))-3)/4)))</f>
        <v>0.182614815011442</v>
      </c>
      <c r="BG35" s="15" t="n">
        <f aca="false">IF(V35="",0,MIN(1,V35/20))</f>
        <v>0.25</v>
      </c>
      <c r="BH35" s="15" t="n">
        <f aca="false">MAX(IF(P35="",0,MIN(1,('SCORING METHOD'!$C$5-P35)/730)),IF(M35="",0,MAX(0,MIN(1,(LOG10(MAX(1,M35))-1)/2.5))))</f>
        <v>0.475008288334585</v>
      </c>
      <c r="BI35" s="15" t="n">
        <f aca="false">IF(J35="Y",0.4,0)+0.6*N(AY35)/5</f>
        <v>0.88</v>
      </c>
      <c r="BJ35" s="16" t="n">
        <f aca="false">ROUND(BD35*'SCORING METHOD'!$C$6+BE35*'SCORING METHOD'!$C$7+BF35*'SCORING METHOD'!$C$8+BG35*'SCORING METHOD'!$C$9+BH35*'SCORING METHOD'!$C$10+BI35*'SCORING METHOD'!$C$11,1)</f>
        <v>44.6</v>
      </c>
      <c r="BK35" s="15" t="n">
        <f aca="false">IF(AE35="",0,MAX(0,MIN(1,(LOG10(MAX(1,IF(X35="",AE35,MIN(AE35,X35))))-2)/4)))</f>
        <v>0.178582439936308</v>
      </c>
      <c r="BL35" s="15" t="n">
        <f aca="false">IF(AL35="",0,MAX(0,MIN(1,(LOG10(MAX(1,AL35))-3)/4)))</f>
        <v>0</v>
      </c>
      <c r="BM35" s="15" t="n">
        <f aca="false">IF(U35="",0,MIN(1,U35/14))</f>
        <v>0.0714285714285714</v>
      </c>
      <c r="BN35" s="15" t="n">
        <f aca="false">IF(OR(P35="",K35="",N35="",M35="",M35=0),0,IF(AND('SCORING METHOD'!$C$5-P35&lt;=60,N35/M35&gt;=0.5),MAX(0,MIN(1,(LOG10(MAX(1,K35/MAX(1,'SCORING METHOD'!$C$5-P35)))-2)/2.5)),0))</f>
        <v>0</v>
      </c>
      <c r="BO35" s="15" t="n">
        <f aca="false">IF(S35="",0,MAX(0,MIN(1,1-(S35-3)/27)))</f>
        <v>0.814814814814815</v>
      </c>
      <c r="BP35" s="16" t="n">
        <f aca="false">ROUND(BK35*'SCORING METHOD'!$C$12+BL35*'SCORING METHOD'!$C$13+BM35*'SCORING METHOD'!$C$14+BN35*'SCORING METHOD'!$C$15+BO35*'SCORING METHOD'!$C$16,1)</f>
        <v>15.5</v>
      </c>
      <c r="BQ35" s="16" t="n">
        <f aca="false">ROUND((N(AZ35)+N(BA35)+N(BB35)+N(BC35))/20*100,1)</f>
        <v>50</v>
      </c>
      <c r="BR35" s="17" t="n">
        <f aca="false">IFERROR(INDEX('DATA SUFFICIENCY'!$J$2:$J$63,MATCH(C35,'DATA SUFFICIENCY'!$B$2:$B$63,0)),0)</f>
        <v>0.8</v>
      </c>
      <c r="BS35" s="16" t="n">
        <f aca="false">ROUND('SCORING METHOD'!$C$17*BJ35+'SCORING METHOD'!$C$18*BP35+'SCORING METHOD'!$C$19*BQ35+'SCORING METHOD'!$C$20*BR35*100,1)</f>
        <v>42.3</v>
      </c>
      <c r="BT35" s="15" t="n">
        <f aca="false">IF(F35="INCLUDED",BJ35+(1000-ROW())/100000,-1)</f>
        <v>44.60965</v>
      </c>
      <c r="BU35" s="15" t="n">
        <f aca="false">IF(F35="INCLUDED",BP35+(1000-ROW())/100000,-1)</f>
        <v>15.50965</v>
      </c>
      <c r="BV35" s="15" t="n">
        <f aca="false">IF(F35="INCLUDED",BQ35+(1000-ROW())/100000,-1)</f>
        <v>50.00965</v>
      </c>
      <c r="BW35" s="15" t="n">
        <f aca="false">IF(F35="INCLUDED",BS35+(1000-ROW())/100000,-1)</f>
        <v>42.30965</v>
      </c>
      <c r="BX35" s="2" t="s">
        <v>734</v>
      </c>
    </row>
    <row r="36" customFormat="false" ht="15" hidden="false" customHeight="false" outlineLevel="0" collapsed="false">
      <c r="A36" s="2" t="n">
        <v>35</v>
      </c>
      <c r="B36" s="2" t="s">
        <v>735</v>
      </c>
      <c r="C36" s="2" t="s">
        <v>736</v>
      </c>
      <c r="D36" s="3" t="s">
        <v>737</v>
      </c>
      <c r="E36" s="2" t="s">
        <v>350</v>
      </c>
      <c r="F36" s="2" t="s">
        <v>275</v>
      </c>
      <c r="G36" s="2"/>
      <c r="H36" s="2" t="s">
        <v>738</v>
      </c>
      <c r="I36" s="2" t="s">
        <v>641</v>
      </c>
      <c r="J36" s="2" t="s">
        <v>352</v>
      </c>
      <c r="K36" s="11" t="n">
        <v>247516</v>
      </c>
      <c r="L36" s="11"/>
      <c r="M36" s="11" t="n">
        <v>138</v>
      </c>
      <c r="N36" s="2" t="n">
        <v>22</v>
      </c>
      <c r="O36" s="2" t="s">
        <v>739</v>
      </c>
      <c r="P36" s="12" t="n">
        <v>45675</v>
      </c>
      <c r="Q36" s="2" t="s">
        <v>389</v>
      </c>
      <c r="R36" s="12" t="n">
        <v>46287</v>
      </c>
      <c r="S36" s="2" t="n">
        <f aca="false">IF(R36="","",'SCORING METHOD'!$C$5-R36)</f>
        <v>17</v>
      </c>
      <c r="T36" s="2" t="n">
        <v>0</v>
      </c>
      <c r="U36" s="2" t="n">
        <v>0</v>
      </c>
      <c r="V36" s="2" t="n">
        <v>1</v>
      </c>
      <c r="W36" s="2" t="n">
        <f aca="false">IF(U36="","",U36/2)</f>
        <v>0</v>
      </c>
      <c r="X36" s="11" t="n">
        <v>3057</v>
      </c>
      <c r="Y36" s="11" t="n">
        <v>1199</v>
      </c>
      <c r="Z36" s="11" t="n">
        <v>68</v>
      </c>
      <c r="AA36" s="11" t="n">
        <v>45</v>
      </c>
      <c r="AB36" s="2" t="n">
        <v>0</v>
      </c>
      <c r="AC36" s="13" t="n">
        <f aca="false">IF(OR(X36="",K36="",K36=0),"",(X36+N(Z36))/K36)</f>
        <v>0.012625446435786</v>
      </c>
      <c r="AD36" s="2" t="str">
        <f aca="false">IF(AC36="","UNKNOWN",IF(AC36&gt;=0.05,"Very high",IF(AC36&gt;=0.02,"High",IF(AC36&gt;=0.005,"Medium","Low"))))</f>
        <v>Medium</v>
      </c>
      <c r="AE36" s="11"/>
      <c r="AF36" s="11"/>
      <c r="AG36" s="11" t="n">
        <v>21888</v>
      </c>
      <c r="AH36" s="3" t="s">
        <v>740</v>
      </c>
      <c r="AI36" s="12" t="n">
        <v>46210</v>
      </c>
      <c r="AJ36" s="11" t="n">
        <v>309</v>
      </c>
      <c r="AK36" s="2" t="s">
        <v>741</v>
      </c>
      <c r="AL36" s="11"/>
      <c r="AM36" s="2"/>
      <c r="AN36" s="2"/>
      <c r="AO36" s="2" t="s">
        <v>647</v>
      </c>
      <c r="AP36" s="2"/>
      <c r="AQ36" s="2" t="s">
        <v>315</v>
      </c>
      <c r="AR36" s="2"/>
      <c r="AS36" s="2" t="s">
        <v>101</v>
      </c>
      <c r="AT36" s="2" t="s">
        <v>742</v>
      </c>
      <c r="AU36" s="2" t="s">
        <v>743</v>
      </c>
      <c r="AV36" s="2" t="s">
        <v>744</v>
      </c>
      <c r="AW36" s="2" t="s">
        <v>705</v>
      </c>
      <c r="AX36" s="2" t="s">
        <v>745</v>
      </c>
      <c r="AY36" s="14" t="n">
        <v>3</v>
      </c>
      <c r="AZ36" s="14" t="n">
        <v>3</v>
      </c>
      <c r="BA36" s="14" t="n">
        <v>3</v>
      </c>
      <c r="BB36" s="14" t="n">
        <v>2</v>
      </c>
      <c r="BC36" s="14" t="n">
        <v>1</v>
      </c>
      <c r="BD36" s="15" t="n">
        <f aca="false">IF(K36="",0,MAX(0,MIN(1,(LOG10(MAX(1,K36))-3)/4)))</f>
        <v>0.598400819491251</v>
      </c>
      <c r="BE36" s="15" t="n">
        <f aca="false">IF(X36="",0,MAX(0,MIN(1,(LOG10(MAX(1,X36))-2)/4)))</f>
        <v>0.371323859681522</v>
      </c>
      <c r="BF36" s="15" t="n">
        <f aca="false">IF(AG36="",0,MAX(0,MIN(1,(LOG10(MAX(1,AG36))-3)/4)))</f>
        <v>0.335051520010006</v>
      </c>
      <c r="BG36" s="15" t="n">
        <f aca="false">IF(V36="",0,MIN(1,V36/20))</f>
        <v>0.05</v>
      </c>
      <c r="BH36" s="15" t="n">
        <f aca="false">MAX(IF(P36="",0,MIN(1,('SCORING METHOD'!$C$5-P36)/730)),IF(M36="",0,MAX(0,MIN(1,(LOG10(MAX(1,M36))-1)/2.5))))</f>
        <v>0.861643835616438</v>
      </c>
      <c r="BI36" s="15" t="n">
        <f aca="false">IF(J36="Y",0.4,0)+0.6*N(AY36)/5</f>
        <v>0.76</v>
      </c>
      <c r="BJ36" s="16" t="n">
        <f aca="false">ROUND(BD36*'SCORING METHOD'!$C$6+BE36*'SCORING METHOD'!$C$7+BF36*'SCORING METHOD'!$C$8+BG36*'SCORING METHOD'!$C$9+BH36*'SCORING METHOD'!$C$10+BI36*'SCORING METHOD'!$C$11,1)</f>
        <v>48.8</v>
      </c>
      <c r="BK36" s="15" t="n">
        <f aca="false">IF(AE36="",0,MAX(0,MIN(1,(LOG10(MAX(1,IF(X36="",AE36,MIN(AE36,X36))))-2)/4)))</f>
        <v>0</v>
      </c>
      <c r="BL36" s="15" t="n">
        <f aca="false">IF(AL36="",0,MAX(0,MIN(1,(LOG10(MAX(1,AL36))-3)/4)))</f>
        <v>0</v>
      </c>
      <c r="BM36" s="15" t="n">
        <f aca="false">IF(U36="",0,MIN(1,U36/14))</f>
        <v>0</v>
      </c>
      <c r="BN36" s="15" t="n">
        <f aca="false">IF(OR(P36="",K36="",N36="",M36="",M36=0),0,IF(AND('SCORING METHOD'!$C$5-P36&lt;=60,N36/M36&gt;=0.5),MAX(0,MIN(1,(LOG10(MAX(1,K36/MAX(1,'SCORING METHOD'!$C$5-P36)))-2)/2.5)),0))</f>
        <v>0</v>
      </c>
      <c r="BO36" s="15" t="n">
        <f aca="false">IF(S36="",0,MAX(0,MIN(1,1-(S36-3)/27)))</f>
        <v>0.481481481481482</v>
      </c>
      <c r="BP36" s="16" t="n">
        <f aca="false">ROUND(BK36*'SCORING METHOD'!$C$12+BL36*'SCORING METHOD'!$C$13+BM36*'SCORING METHOD'!$C$14+BN36*'SCORING METHOD'!$C$15+BO36*'SCORING METHOD'!$C$16,1)</f>
        <v>4.8</v>
      </c>
      <c r="BQ36" s="16" t="n">
        <f aca="false">ROUND((N(AZ36)+N(BA36)+N(BB36)+N(BC36))/20*100,1)</f>
        <v>45</v>
      </c>
      <c r="BR36" s="17" t="n">
        <f aca="false">IFERROR(INDEX('DATA SUFFICIENCY'!$J$2:$J$63,MATCH(C36,'DATA SUFFICIENCY'!$B$2:$B$63,0)),0)</f>
        <v>0.7</v>
      </c>
      <c r="BS36" s="16" t="n">
        <f aca="false">ROUND('SCORING METHOD'!$C$17*BJ36+'SCORING METHOD'!$C$18*BP36+'SCORING METHOD'!$C$19*BQ36+'SCORING METHOD'!$C$20*BR36*100,1)</f>
        <v>38</v>
      </c>
      <c r="BT36" s="15" t="n">
        <f aca="false">IF(F36="INCLUDED",BJ36+(1000-ROW())/100000,-1)</f>
        <v>48.80964</v>
      </c>
      <c r="BU36" s="15" t="n">
        <f aca="false">IF(F36="INCLUDED",BP36+(1000-ROW())/100000,-1)</f>
        <v>4.80964</v>
      </c>
      <c r="BV36" s="15" t="n">
        <f aca="false">IF(F36="INCLUDED",BQ36+(1000-ROW())/100000,-1)</f>
        <v>45.00964</v>
      </c>
      <c r="BW36" s="15" t="n">
        <f aca="false">IF(F36="INCLUDED",BS36+(1000-ROW())/100000,-1)</f>
        <v>38.00964</v>
      </c>
      <c r="BX36" s="2" t="s">
        <v>746</v>
      </c>
    </row>
    <row r="37" customFormat="false" ht="15" hidden="false" customHeight="false" outlineLevel="0" collapsed="false">
      <c r="A37" s="2" t="n">
        <v>36</v>
      </c>
      <c r="B37" s="2" t="s">
        <v>747</v>
      </c>
      <c r="C37" s="2" t="s">
        <v>748</v>
      </c>
      <c r="D37" s="3" t="s">
        <v>749</v>
      </c>
      <c r="E37" s="2" t="s">
        <v>350</v>
      </c>
      <c r="F37" s="2" t="s">
        <v>275</v>
      </c>
      <c r="G37" s="2"/>
      <c r="H37" s="2" t="s">
        <v>750</v>
      </c>
      <c r="I37" s="2" t="s">
        <v>641</v>
      </c>
      <c r="J37" s="2" t="s">
        <v>352</v>
      </c>
      <c r="K37" s="11" t="n">
        <v>235598</v>
      </c>
      <c r="L37" s="11"/>
      <c r="M37" s="11" t="n">
        <v>211</v>
      </c>
      <c r="N37" s="2" t="n">
        <v>22</v>
      </c>
      <c r="O37" s="2" t="s">
        <v>751</v>
      </c>
      <c r="P37" s="12" t="n">
        <v>46039</v>
      </c>
      <c r="Q37" s="2" t="s">
        <v>389</v>
      </c>
      <c r="R37" s="12" t="n">
        <v>46267</v>
      </c>
      <c r="S37" s="2" t="n">
        <f aca="false">IF(R37="","",'SCORING METHOD'!$C$5-R37)</f>
        <v>37</v>
      </c>
      <c r="T37" s="2" t="n">
        <v>0</v>
      </c>
      <c r="U37" s="2" t="n">
        <v>0</v>
      </c>
      <c r="V37" s="2" t="n">
        <v>0</v>
      </c>
      <c r="W37" s="2" t="n">
        <f aca="false">IF(U37="","",U37/2)</f>
        <v>0</v>
      </c>
      <c r="X37" s="11" t="n">
        <v>295</v>
      </c>
      <c r="Y37" s="11" t="n">
        <v>276</v>
      </c>
      <c r="Z37" s="11" t="n">
        <v>44</v>
      </c>
      <c r="AA37" s="11" t="n">
        <v>39</v>
      </c>
      <c r="AB37" s="2" t="n">
        <v>0</v>
      </c>
      <c r="AC37" s="13" t="n">
        <f aca="false">IF(OR(X37="",K37="",K37=0),"",(X37+N(Z37))/K37)</f>
        <v>0.00143889167140638</v>
      </c>
      <c r="AD37" s="2" t="str">
        <f aca="false">IF(AC37="","UNKNOWN",IF(AC37&gt;=0.05,"Very high",IF(AC37&gt;=0.02,"High",IF(AC37&gt;=0.005,"Medium","Low"))))</f>
        <v>Low</v>
      </c>
      <c r="AE37" s="11"/>
      <c r="AF37" s="11"/>
      <c r="AG37" s="11" t="n">
        <v>1083</v>
      </c>
      <c r="AH37" s="3" t="s">
        <v>752</v>
      </c>
      <c r="AI37" s="12" t="n">
        <v>46097</v>
      </c>
      <c r="AJ37" s="11" t="n">
        <v>42</v>
      </c>
      <c r="AK37" s="2" t="s">
        <v>753</v>
      </c>
      <c r="AL37" s="11"/>
      <c r="AM37" s="2"/>
      <c r="AN37" s="2"/>
      <c r="AO37" s="2" t="s">
        <v>647</v>
      </c>
      <c r="AP37" s="2"/>
      <c r="AQ37" s="2" t="s">
        <v>315</v>
      </c>
      <c r="AR37" s="2"/>
      <c r="AS37" s="2" t="s">
        <v>101</v>
      </c>
      <c r="AT37" s="2" t="s">
        <v>754</v>
      </c>
      <c r="AU37" s="2" t="s">
        <v>755</v>
      </c>
      <c r="AV37" s="2" t="s">
        <v>756</v>
      </c>
      <c r="AW37" s="2" t="s">
        <v>705</v>
      </c>
      <c r="AX37" s="2" t="s">
        <v>757</v>
      </c>
      <c r="AY37" s="14" t="n">
        <v>4</v>
      </c>
      <c r="AZ37" s="14" t="n">
        <v>4</v>
      </c>
      <c r="BA37" s="14" t="n">
        <v>2</v>
      </c>
      <c r="BB37" s="14" t="n">
        <v>2</v>
      </c>
      <c r="BC37" s="14" t="n">
        <v>3</v>
      </c>
      <c r="BD37" s="15" t="n">
        <f aca="false">IF(K37="",0,MAX(0,MIN(1,(LOG10(MAX(1,K37))-3)/4)))</f>
        <v>0.593042899847261</v>
      </c>
      <c r="BE37" s="15" t="n">
        <f aca="false">IF(X37="",0,MAX(0,MIN(1,(LOG10(MAX(1,X37))-2)/4)))</f>
        <v>0.117455503994541</v>
      </c>
      <c r="BF37" s="15" t="n">
        <f aca="false">IF(AG37="",0,MAX(0,MIN(1,(LOG10(MAX(1,AG37))-3)/4)))</f>
        <v>0.00865711415633008</v>
      </c>
      <c r="BG37" s="15" t="n">
        <f aca="false">IF(V37="",0,MIN(1,V37/20))</f>
        <v>0</v>
      </c>
      <c r="BH37" s="15" t="n">
        <f aca="false">MAX(IF(P37="",0,MIN(1,('SCORING METHOD'!$C$5-P37)/730)),IF(M37="",0,MAX(0,MIN(1,(LOG10(MAX(1,M37))-1)/2.5))))</f>
        <v>0.529712982119077</v>
      </c>
      <c r="BI37" s="15" t="n">
        <f aca="false">IF(J37="Y",0.4,0)+0.6*N(AY37)/5</f>
        <v>0.88</v>
      </c>
      <c r="BJ37" s="16" t="n">
        <f aca="false">ROUND(BD37*'SCORING METHOD'!$C$6+BE37*'SCORING METHOD'!$C$7+BF37*'SCORING METHOD'!$C$8+BG37*'SCORING METHOD'!$C$9+BH37*'SCORING METHOD'!$C$10+BI37*'SCORING METHOD'!$C$11,1)</f>
        <v>34.4</v>
      </c>
      <c r="BK37" s="15" t="n">
        <f aca="false">IF(AE37="",0,MAX(0,MIN(1,(LOG10(MAX(1,IF(X37="",AE37,MIN(AE37,X37))))-2)/4)))</f>
        <v>0</v>
      </c>
      <c r="BL37" s="15" t="n">
        <f aca="false">IF(AL37="",0,MAX(0,MIN(1,(LOG10(MAX(1,AL37))-3)/4)))</f>
        <v>0</v>
      </c>
      <c r="BM37" s="15" t="n">
        <f aca="false">IF(U37="",0,MIN(1,U37/14))</f>
        <v>0</v>
      </c>
      <c r="BN37" s="15" t="n">
        <f aca="false">IF(OR(P37="",K37="",N37="",M37="",M37=0),0,IF(AND('SCORING METHOD'!$C$5-P37&lt;=60,N37/M37&gt;=0.5),MAX(0,MIN(1,(LOG10(MAX(1,K37/MAX(1,'SCORING METHOD'!$C$5-P37)))-2)/2.5)),0))</f>
        <v>0</v>
      </c>
      <c r="BO37" s="15" t="n">
        <f aca="false">IF(S37="",0,MAX(0,MIN(1,1-(S37-3)/27)))</f>
        <v>0</v>
      </c>
      <c r="BP37" s="16" t="n">
        <f aca="false">ROUND(BK37*'SCORING METHOD'!$C$12+BL37*'SCORING METHOD'!$C$13+BM37*'SCORING METHOD'!$C$14+BN37*'SCORING METHOD'!$C$15+BO37*'SCORING METHOD'!$C$16,1)</f>
        <v>0</v>
      </c>
      <c r="BQ37" s="16" t="n">
        <f aca="false">ROUND((N(AZ37)+N(BA37)+N(BB37)+N(BC37))/20*100,1)</f>
        <v>55</v>
      </c>
      <c r="BR37" s="17" t="n">
        <f aca="false">IFERROR(INDEX('DATA SUFFICIENCY'!$J$2:$J$63,MATCH(C37,'DATA SUFFICIENCY'!$B$2:$B$63,0)),0)</f>
        <v>0.8</v>
      </c>
      <c r="BS37" s="16" t="n">
        <f aca="false">ROUND('SCORING METHOD'!$C$17*BJ37+'SCORING METHOD'!$C$18*BP37+'SCORING METHOD'!$C$19*BQ37+'SCORING METHOD'!$C$20*BR37*100,1)</f>
        <v>35</v>
      </c>
      <c r="BT37" s="15" t="n">
        <f aca="false">IF(F37="INCLUDED",BJ37+(1000-ROW())/100000,-1)</f>
        <v>34.40963</v>
      </c>
      <c r="BU37" s="15" t="n">
        <f aca="false">IF(F37="INCLUDED",BP37+(1000-ROW())/100000,-1)</f>
        <v>0.00963</v>
      </c>
      <c r="BV37" s="15" t="n">
        <f aca="false">IF(F37="INCLUDED",BQ37+(1000-ROW())/100000,-1)</f>
        <v>55.00963</v>
      </c>
      <c r="BW37" s="15" t="n">
        <f aca="false">IF(F37="INCLUDED",BS37+(1000-ROW())/100000,-1)</f>
        <v>35.00963</v>
      </c>
      <c r="BX37" s="2" t="s">
        <v>758</v>
      </c>
    </row>
    <row r="38" customFormat="false" ht="15" hidden="false" customHeight="false" outlineLevel="0" collapsed="false">
      <c r="A38" s="2" t="n">
        <v>37</v>
      </c>
      <c r="B38" s="2" t="s">
        <v>759</v>
      </c>
      <c r="C38" s="2" t="s">
        <v>760</v>
      </c>
      <c r="D38" s="3" t="s">
        <v>761</v>
      </c>
      <c r="E38" s="2" t="s">
        <v>350</v>
      </c>
      <c r="F38" s="2" t="s">
        <v>275</v>
      </c>
      <c r="G38" s="2"/>
      <c r="H38" s="2" t="s">
        <v>762</v>
      </c>
      <c r="I38" s="2" t="s">
        <v>763</v>
      </c>
      <c r="J38" s="2" t="s">
        <v>278</v>
      </c>
      <c r="K38" s="11" t="n">
        <v>239718</v>
      </c>
      <c r="L38" s="11"/>
      <c r="M38" s="11" t="n">
        <v>92</v>
      </c>
      <c r="N38" s="2" t="n">
        <v>22</v>
      </c>
      <c r="O38" s="2" t="s">
        <v>764</v>
      </c>
      <c r="P38" s="12" t="n">
        <v>45805</v>
      </c>
      <c r="Q38" s="2" t="s">
        <v>765</v>
      </c>
      <c r="R38" s="12" t="n">
        <v>46303</v>
      </c>
      <c r="S38" s="2" t="n">
        <f aca="false">IF(R38="","",'SCORING METHOD'!$C$5-R38)</f>
        <v>1</v>
      </c>
      <c r="T38" s="2" t="n">
        <v>1</v>
      </c>
      <c r="U38" s="2" t="n">
        <v>1</v>
      </c>
      <c r="V38" s="2" t="n">
        <v>4</v>
      </c>
      <c r="W38" s="2" t="n">
        <f aca="false">IF(U38="","",U38/2)</f>
        <v>0.5</v>
      </c>
      <c r="X38" s="11" t="n">
        <v>7177</v>
      </c>
      <c r="Y38" s="11" t="n">
        <v>2034</v>
      </c>
      <c r="Z38" s="11" t="n">
        <v>72</v>
      </c>
      <c r="AA38" s="11" t="n">
        <v>18</v>
      </c>
      <c r="AB38" s="2" t="n">
        <v>0</v>
      </c>
      <c r="AC38" s="13" t="n">
        <f aca="false">IF(OR(X38="",K38="",K38=0),"",(X38+N(Z38))/K38)</f>
        <v>0.0302396983121835</v>
      </c>
      <c r="AD38" s="2" t="str">
        <f aca="false">IF(AC38="","UNKNOWN",IF(AC38&gt;=0.05,"Very high",IF(AC38&gt;=0.02,"High",IF(AC38&gt;=0.005,"Medium","Low"))))</f>
        <v>High</v>
      </c>
      <c r="AE38" s="11" t="n">
        <v>695</v>
      </c>
      <c r="AF38" s="11" t="n">
        <v>18</v>
      </c>
      <c r="AG38" s="11" t="n">
        <v>297057</v>
      </c>
      <c r="AH38" s="3" t="s">
        <v>766</v>
      </c>
      <c r="AI38" s="12" t="n">
        <v>45807</v>
      </c>
      <c r="AJ38" s="11" t="n">
        <v>1849</v>
      </c>
      <c r="AK38" s="2" t="s">
        <v>767</v>
      </c>
      <c r="AL38" s="11" t="n">
        <v>695</v>
      </c>
      <c r="AM38" s="3" t="s">
        <v>768</v>
      </c>
      <c r="AN38" s="12" t="n">
        <v>46303</v>
      </c>
      <c r="AO38" s="2" t="s">
        <v>647</v>
      </c>
      <c r="AP38" s="2"/>
      <c r="AQ38" s="2" t="s">
        <v>315</v>
      </c>
      <c r="AR38" s="2"/>
      <c r="AS38" s="2" t="s">
        <v>101</v>
      </c>
      <c r="AT38" s="2" t="s">
        <v>541</v>
      </c>
      <c r="AU38" s="2" t="s">
        <v>769</v>
      </c>
      <c r="AV38" s="2" t="s">
        <v>770</v>
      </c>
      <c r="AW38" s="2" t="s">
        <v>364</v>
      </c>
      <c r="AX38" s="2" t="s">
        <v>771</v>
      </c>
      <c r="AY38" s="14" t="n">
        <v>3</v>
      </c>
      <c r="AZ38" s="14" t="n">
        <v>4</v>
      </c>
      <c r="BA38" s="14" t="n">
        <v>4</v>
      </c>
      <c r="BB38" s="14" t="n">
        <v>2</v>
      </c>
      <c r="BC38" s="14" t="n">
        <v>1</v>
      </c>
      <c r="BD38" s="15" t="n">
        <f aca="false">IF(K38="",0,MAX(0,MIN(1,(LOG10(MAX(1,K38))-3)/4)))</f>
        <v>0.594925161415353</v>
      </c>
      <c r="BE38" s="15" t="n">
        <f aca="false">IF(X38="",0,MAX(0,MIN(1,(LOG10(MAX(1,X38))-2)/4)))</f>
        <v>0.463985736558079</v>
      </c>
      <c r="BF38" s="15" t="n">
        <f aca="false">IF(AG38="",0,MAX(0,MIN(1,(LOG10(MAX(1,AG38))-3)/4)))</f>
        <v>0.61820994769152</v>
      </c>
      <c r="BG38" s="15" t="n">
        <f aca="false">IF(V38="",0,MIN(1,V38/20))</f>
        <v>0.2</v>
      </c>
      <c r="BH38" s="15" t="n">
        <f aca="false">MAX(IF(P38="",0,MIN(1,('SCORING METHOD'!$C$5-P38)/730)),IF(M38="",0,MAX(0,MIN(1,(LOG10(MAX(1,M38))-1)/2.5))))</f>
        <v>0.683561643835617</v>
      </c>
      <c r="BI38" s="15" t="n">
        <f aca="false">IF(J38="Y",0.4,0)+0.6*N(AY38)/5</f>
        <v>0.36</v>
      </c>
      <c r="BJ38" s="16" t="n">
        <f aca="false">ROUND(BD38*'SCORING METHOD'!$C$6+BE38*'SCORING METHOD'!$C$7+BF38*'SCORING METHOD'!$C$8+BG38*'SCORING METHOD'!$C$9+BH38*'SCORING METHOD'!$C$10+BI38*'SCORING METHOD'!$C$11,1)</f>
        <v>51.9</v>
      </c>
      <c r="BK38" s="15" t="n">
        <f aca="false">IF(AE38="",0,MAX(0,MIN(1,(LOG10(MAX(1,IF(X38="",AE38,MIN(AE38,X38))))-2)/4)))</f>
        <v>0.210496201147528</v>
      </c>
      <c r="BL38" s="15" t="n">
        <f aca="false">IF(AL38="",0,MAX(0,MIN(1,(LOG10(MAX(1,AL38))-3)/4)))</f>
        <v>0</v>
      </c>
      <c r="BM38" s="15" t="n">
        <f aca="false">IF(U38="",0,MIN(1,U38/14))</f>
        <v>0.0714285714285714</v>
      </c>
      <c r="BN38" s="15" t="n">
        <f aca="false">IF(OR(P38="",K38="",N38="",M38="",M38=0),0,IF(AND('SCORING METHOD'!$C$5-P38&lt;=60,N38/M38&gt;=0.5),MAX(0,MIN(1,(LOG10(MAX(1,K38/MAX(1,'SCORING METHOD'!$C$5-P38)))-2)/2.5)),0))</f>
        <v>0</v>
      </c>
      <c r="BO38" s="15" t="n">
        <f aca="false">IF(S38="",0,MAX(0,MIN(1,1-(S38-3)/27)))</f>
        <v>1</v>
      </c>
      <c r="BP38" s="16" t="n">
        <f aca="false">ROUND(BK38*'SCORING METHOD'!$C$12+BL38*'SCORING METHOD'!$C$13+BM38*'SCORING METHOD'!$C$14+BN38*'SCORING METHOD'!$C$15+BO38*'SCORING METHOD'!$C$16,1)</f>
        <v>18.4</v>
      </c>
      <c r="BQ38" s="16" t="n">
        <f aca="false">ROUND((N(AZ38)+N(BA38)+N(BB38)+N(BC38))/20*100,1)</f>
        <v>55</v>
      </c>
      <c r="BR38" s="17" t="n">
        <f aca="false">IFERROR(INDEX('DATA SUFFICIENCY'!$J$2:$J$63,MATCH(C38,'DATA SUFFICIENCY'!$B$2:$B$63,0)),0)</f>
        <v>0.6</v>
      </c>
      <c r="BS38" s="16" t="n">
        <f aca="false">ROUND('SCORING METHOD'!$C$17*BJ38+'SCORING METHOD'!$C$18*BP38+'SCORING METHOD'!$C$19*BQ38+'SCORING METHOD'!$C$20*BR38*100,1)</f>
        <v>43.7</v>
      </c>
      <c r="BT38" s="15" t="n">
        <f aca="false">IF(F38="INCLUDED",BJ38+(1000-ROW())/100000,-1)</f>
        <v>51.90962</v>
      </c>
      <c r="BU38" s="15" t="n">
        <f aca="false">IF(F38="INCLUDED",BP38+(1000-ROW())/100000,-1)</f>
        <v>18.40962</v>
      </c>
      <c r="BV38" s="15" t="n">
        <f aca="false">IF(F38="INCLUDED",BQ38+(1000-ROW())/100000,-1)</f>
        <v>55.00962</v>
      </c>
      <c r="BW38" s="15" t="n">
        <f aca="false">IF(F38="INCLUDED",BS38+(1000-ROW())/100000,-1)</f>
        <v>43.70962</v>
      </c>
      <c r="BX38" s="2" t="s">
        <v>772</v>
      </c>
    </row>
    <row r="39" customFormat="false" ht="15" hidden="false" customHeight="false" outlineLevel="0" collapsed="false">
      <c r="A39" s="2" t="n">
        <v>38</v>
      </c>
      <c r="B39" s="2" t="s">
        <v>773</v>
      </c>
      <c r="C39" s="2" t="s">
        <v>774</v>
      </c>
      <c r="D39" s="3" t="s">
        <v>775</v>
      </c>
      <c r="E39" s="2" t="s">
        <v>350</v>
      </c>
      <c r="F39" s="2" t="s">
        <v>275</v>
      </c>
      <c r="G39" s="2"/>
      <c r="H39" s="2" t="s">
        <v>776</v>
      </c>
      <c r="I39" s="2" t="s">
        <v>777</v>
      </c>
      <c r="J39" s="2" t="s">
        <v>352</v>
      </c>
      <c r="K39" s="11" t="n">
        <v>183781</v>
      </c>
      <c r="L39" s="11"/>
      <c r="M39" s="11" t="n">
        <v>43</v>
      </c>
      <c r="N39" s="2" t="n">
        <v>22</v>
      </c>
      <c r="O39" s="2" t="s">
        <v>778</v>
      </c>
      <c r="P39" s="12" t="n">
        <v>46125</v>
      </c>
      <c r="Q39" s="2" t="s">
        <v>779</v>
      </c>
      <c r="R39" s="12" t="n">
        <v>46301</v>
      </c>
      <c r="S39" s="2" t="n">
        <f aca="false">IF(R39="","",'SCORING METHOD'!$C$5-R39)</f>
        <v>3</v>
      </c>
      <c r="T39" s="2" t="n">
        <v>2</v>
      </c>
      <c r="U39" s="2" t="n">
        <v>4</v>
      </c>
      <c r="V39" s="2" t="n">
        <v>9</v>
      </c>
      <c r="W39" s="2" t="n">
        <f aca="false">IF(U39="","",U39/2)</f>
        <v>2</v>
      </c>
      <c r="X39" s="11" t="n">
        <v>634</v>
      </c>
      <c r="Y39" s="11" t="n">
        <v>187</v>
      </c>
      <c r="Z39" s="11" t="n">
        <v>116</v>
      </c>
      <c r="AA39" s="11" t="n">
        <v>52</v>
      </c>
      <c r="AB39" s="2" t="n">
        <v>0</v>
      </c>
      <c r="AC39" s="13" t="n">
        <f aca="false">IF(OR(X39="",K39="",K39=0),"",(X39+N(Z39))/K39)</f>
        <v>0.00408094416724253</v>
      </c>
      <c r="AD39" s="2" t="str">
        <f aca="false">IF(AC39="","UNKNOWN",IF(AC39&gt;=0.05,"Very high",IF(AC39&gt;=0.02,"High",IF(AC39&gt;=0.005,"Medium","Low"))))</f>
        <v>Low</v>
      </c>
      <c r="AE39" s="11" t="n">
        <v>100</v>
      </c>
      <c r="AF39" s="11" t="n">
        <v>19</v>
      </c>
      <c r="AG39" s="11" t="n">
        <v>4238</v>
      </c>
      <c r="AH39" s="3" t="s">
        <v>780</v>
      </c>
      <c r="AI39" s="12" t="n">
        <v>46283</v>
      </c>
      <c r="AJ39" s="11" t="n">
        <v>654</v>
      </c>
      <c r="AK39" s="2" t="s">
        <v>781</v>
      </c>
      <c r="AL39" s="11" t="n">
        <v>183</v>
      </c>
      <c r="AM39" s="3" t="s">
        <v>782</v>
      </c>
      <c r="AN39" s="12" t="n">
        <v>46295</v>
      </c>
      <c r="AO39" s="2" t="s">
        <v>647</v>
      </c>
      <c r="AP39" s="2"/>
      <c r="AQ39" s="2" t="s">
        <v>315</v>
      </c>
      <c r="AR39" s="2"/>
      <c r="AS39" s="2" t="s">
        <v>101</v>
      </c>
      <c r="AT39" s="2" t="s">
        <v>783</v>
      </c>
      <c r="AU39" s="2" t="s">
        <v>784</v>
      </c>
      <c r="AV39" s="2" t="s">
        <v>785</v>
      </c>
      <c r="AW39" s="2" t="s">
        <v>786</v>
      </c>
      <c r="AX39" s="2" t="s">
        <v>787</v>
      </c>
      <c r="AY39" s="14" t="n">
        <v>5</v>
      </c>
      <c r="AZ39" s="14" t="n">
        <v>3</v>
      </c>
      <c r="BA39" s="14" t="n">
        <v>2</v>
      </c>
      <c r="BB39" s="14" t="n">
        <v>2</v>
      </c>
      <c r="BC39" s="14" t="n">
        <v>2</v>
      </c>
      <c r="BD39" s="15" t="n">
        <f aca="false">IF(K39="",0,MAX(0,MIN(1,(LOG10(MAX(1,K39))-3)/4)))</f>
        <v>0.566075152576339</v>
      </c>
      <c r="BE39" s="15" t="n">
        <f aca="false">IF(X39="",0,MAX(0,MIN(1,(LOG10(MAX(1,X39))-2)/4)))</f>
        <v>0.200522314470433</v>
      </c>
      <c r="BF39" s="15" t="n">
        <f aca="false">IF(AG39="",0,MAX(0,MIN(1,(LOG10(MAX(1,AG39))-3)/4)))</f>
        <v>0.156790238093694</v>
      </c>
      <c r="BG39" s="15" t="n">
        <f aca="false">IF(V39="",0,MIN(1,V39/20))</f>
        <v>0.45</v>
      </c>
      <c r="BH39" s="15" t="n">
        <f aca="false">MAX(IF(P39="",0,MIN(1,('SCORING METHOD'!$C$5-P39)/730)),IF(M39="",0,MAX(0,MIN(1,(LOG10(MAX(1,M39))-1)/2.5))))</f>
        <v>0.253387382231835</v>
      </c>
      <c r="BI39" s="15" t="n">
        <f aca="false">IF(J39="Y",0.4,0)+0.6*N(AY39)/5</f>
        <v>1</v>
      </c>
      <c r="BJ39" s="16" t="n">
        <f aca="false">ROUND(BD39*'SCORING METHOD'!$C$6+BE39*'SCORING METHOD'!$C$7+BF39*'SCORING METHOD'!$C$8+BG39*'SCORING METHOD'!$C$9+BH39*'SCORING METHOD'!$C$10+BI39*'SCORING METHOD'!$C$11,1)</f>
        <v>41.2</v>
      </c>
      <c r="BK39" s="15" t="n">
        <f aca="false">IF(AE39="",0,MAX(0,MIN(1,(LOG10(MAX(1,IF(X39="",AE39,MIN(AE39,X39))))-2)/4)))</f>
        <v>0</v>
      </c>
      <c r="BL39" s="15" t="n">
        <f aca="false">IF(AL39="",0,MAX(0,MIN(1,(LOG10(MAX(1,AL39))-3)/4)))</f>
        <v>0</v>
      </c>
      <c r="BM39" s="15" t="n">
        <f aca="false">IF(U39="",0,MIN(1,U39/14))</f>
        <v>0.285714285714286</v>
      </c>
      <c r="BN39" s="15" t="n">
        <f aca="false">IF(OR(P39="",K39="",N39="",M39="",M39=0),0,IF(AND('SCORING METHOD'!$C$5-P39&lt;=60,N39/M39&gt;=0.5),MAX(0,MIN(1,(LOG10(MAX(1,K39/MAX(1,'SCORING METHOD'!$C$5-P39)))-2)/2.5)),0))</f>
        <v>0</v>
      </c>
      <c r="BO39" s="15" t="n">
        <f aca="false">IF(S39="",0,MAX(0,MIN(1,1-(S39-3)/27)))</f>
        <v>1</v>
      </c>
      <c r="BP39" s="16" t="n">
        <f aca="false">ROUND(BK39*'SCORING METHOD'!$C$12+BL39*'SCORING METHOD'!$C$13+BM39*'SCORING METHOD'!$C$14+BN39*'SCORING METHOD'!$C$15+BO39*'SCORING METHOD'!$C$16,1)</f>
        <v>14.3</v>
      </c>
      <c r="BQ39" s="16" t="n">
        <f aca="false">ROUND((N(AZ39)+N(BA39)+N(BB39)+N(BC39))/20*100,1)</f>
        <v>45</v>
      </c>
      <c r="BR39" s="17" t="n">
        <f aca="false">IFERROR(INDEX('DATA SUFFICIENCY'!$J$2:$J$63,MATCH(C39,'DATA SUFFICIENCY'!$B$2:$B$63,0)),0)</f>
        <v>0.8</v>
      </c>
      <c r="BS39" s="16" t="n">
        <f aca="false">ROUND('SCORING METHOD'!$C$17*BJ39+'SCORING METHOD'!$C$18*BP39+'SCORING METHOD'!$C$19*BQ39+'SCORING METHOD'!$C$20*BR39*100,1)</f>
        <v>39.7</v>
      </c>
      <c r="BT39" s="15" t="n">
        <f aca="false">IF(F39="INCLUDED",BJ39+(1000-ROW())/100000,-1)</f>
        <v>41.20961</v>
      </c>
      <c r="BU39" s="15" t="n">
        <f aca="false">IF(F39="INCLUDED",BP39+(1000-ROW())/100000,-1)</f>
        <v>14.30961</v>
      </c>
      <c r="BV39" s="15" t="n">
        <f aca="false">IF(F39="INCLUDED",BQ39+(1000-ROW())/100000,-1)</f>
        <v>45.00961</v>
      </c>
      <c r="BW39" s="15" t="n">
        <f aca="false">IF(F39="INCLUDED",BS39+(1000-ROW())/100000,-1)</f>
        <v>39.70961</v>
      </c>
      <c r="BX39" s="2" t="s">
        <v>788</v>
      </c>
    </row>
    <row r="40" customFormat="false" ht="15" hidden="false" customHeight="false" outlineLevel="0" collapsed="false">
      <c r="A40" s="2" t="n">
        <v>39</v>
      </c>
      <c r="B40" s="2" t="s">
        <v>789</v>
      </c>
      <c r="C40" s="2" t="s">
        <v>790</v>
      </c>
      <c r="D40" s="3" t="s">
        <v>791</v>
      </c>
      <c r="E40" s="2" t="s">
        <v>792</v>
      </c>
      <c r="F40" s="2" t="s">
        <v>793</v>
      </c>
      <c r="G40" s="2" t="s">
        <v>794</v>
      </c>
      <c r="H40" s="2" t="s">
        <v>795</v>
      </c>
      <c r="I40" s="2"/>
      <c r="J40" s="2" t="s">
        <v>278</v>
      </c>
      <c r="K40" s="11" t="n">
        <v>17979</v>
      </c>
      <c r="L40" s="11"/>
      <c r="M40" s="11" t="n">
        <v>16</v>
      </c>
      <c r="N40" s="2"/>
      <c r="O40" s="2"/>
      <c r="P40" s="12" t="n">
        <v>46290</v>
      </c>
      <c r="Q40" s="2"/>
      <c r="R40" s="12" t="n">
        <v>46295</v>
      </c>
      <c r="S40" s="2" t="n">
        <f aca="false">IF(R40="","",'SCORING METHOD'!$C$5-R40)</f>
        <v>9</v>
      </c>
      <c r="T40" s="2"/>
      <c r="U40" s="2"/>
      <c r="V40" s="2"/>
      <c r="W40" s="2" t="str">
        <f aca="false">IF(U40="","",U40/2)</f>
        <v/>
      </c>
      <c r="X40" s="11" t="n">
        <v>995</v>
      </c>
      <c r="Y40" s="11"/>
      <c r="Z40" s="11"/>
      <c r="AA40" s="11"/>
      <c r="AB40" s="2"/>
      <c r="AC40" s="13" t="n">
        <f aca="false">IF(OR(X40="",K40="",K40=0),"",(X40+N(Z40))/K40)</f>
        <v>0.0553423438455976</v>
      </c>
      <c r="AD40" s="2" t="str">
        <f aca="false">IF(AC40="","UNKNOWN",IF(AC40&gt;=0.05,"Very high",IF(AC40&gt;=0.02,"High",IF(AC40&gt;=0.005,"Medium","Low"))))</f>
        <v>Very high</v>
      </c>
      <c r="AE40" s="11"/>
      <c r="AF40" s="11"/>
      <c r="AG40" s="11" t="n">
        <v>62430</v>
      </c>
      <c r="AH40" s="2"/>
      <c r="AI40" s="2"/>
      <c r="AJ40" s="11"/>
      <c r="AK40" s="2"/>
      <c r="AL40" s="11"/>
      <c r="AM40" s="2"/>
      <c r="AN40" s="2"/>
      <c r="AO40" s="2"/>
      <c r="AP40" s="2"/>
      <c r="AQ40" s="2"/>
      <c r="AR40" s="2"/>
      <c r="AS40" s="2"/>
      <c r="AT40" s="2" t="s">
        <v>796</v>
      </c>
      <c r="AU40" s="2"/>
      <c r="AV40" s="2"/>
      <c r="AW40" s="2"/>
      <c r="AX40" s="2"/>
      <c r="AY40" s="14" t="n">
        <v>1</v>
      </c>
      <c r="AZ40" s="14" t="n">
        <v>2</v>
      </c>
      <c r="BA40" s="14" t="n">
        <v>2</v>
      </c>
      <c r="BB40" s="14" t="n">
        <v>1</v>
      </c>
      <c r="BC40" s="14" t="n">
        <v>1</v>
      </c>
      <c r="BD40" s="15" t="n">
        <f aca="false">IF(K40="",0,MAX(0,MIN(1,(LOG10(MAX(1,K40))-3)/4)))</f>
        <v>0.313691383104037</v>
      </c>
      <c r="BE40" s="15" t="n">
        <f aca="false">IF(X40="",0,MAX(0,MIN(1,(LOG10(MAX(1,X40))-2)/4)))</f>
        <v>0.249455770186431</v>
      </c>
      <c r="BF40" s="15" t="n">
        <f aca="false">IF(AG40="",0,MAX(0,MIN(1,(LOG10(MAX(1,AG40))-3)/4)))</f>
        <v>0.448848333732822</v>
      </c>
      <c r="BG40" s="15" t="n">
        <f aca="false">IF(V40="",0,MIN(1,V40/20))</f>
        <v>0</v>
      </c>
      <c r="BH40" s="15" t="n">
        <f aca="false">MAX(IF(P40="",0,MIN(1,('SCORING METHOD'!$C$5-P40)/730)),IF(M40="",0,MAX(0,MIN(1,(LOG10(MAX(1,M40))-1)/2.5))))</f>
        <v>0.0816479930623699</v>
      </c>
      <c r="BI40" s="15" t="n">
        <f aca="false">IF(J40="Y",0.4,0)+0.6*N(AY40)/5</f>
        <v>0.12</v>
      </c>
      <c r="BJ40" s="16" t="n">
        <f aca="false">ROUND(BD40*'SCORING METHOD'!$C$6+BE40*'SCORING METHOD'!$C$7+BF40*'SCORING METHOD'!$C$8+BG40*'SCORING METHOD'!$C$9+BH40*'SCORING METHOD'!$C$10+BI40*'SCORING METHOD'!$C$11,1)</f>
        <v>25.4</v>
      </c>
      <c r="BK40" s="15" t="n">
        <f aca="false">IF(AE40="",0,MAX(0,MIN(1,(LOG10(MAX(1,IF(X40="",AE40,MIN(AE40,X40))))-2)/4)))</f>
        <v>0</v>
      </c>
      <c r="BL40" s="15" t="n">
        <f aca="false">IF(AL40="",0,MAX(0,MIN(1,(LOG10(MAX(1,AL40))-3)/4)))</f>
        <v>0</v>
      </c>
      <c r="BM40" s="15" t="n">
        <f aca="false">IF(U40="",0,MIN(1,U40/14))</f>
        <v>0</v>
      </c>
      <c r="BN40" s="15" t="n">
        <f aca="false">IF(OR(P40="",K40="",N40="",M40="",M40=0),0,IF(AND('SCORING METHOD'!$C$5-P40&lt;=60,N40/M40&gt;=0.5),MAX(0,MIN(1,(LOG10(MAX(1,K40/MAX(1,'SCORING METHOD'!$C$5-P40)))-2)/2.5)),0))</f>
        <v>0</v>
      </c>
      <c r="BO40" s="15" t="n">
        <f aca="false">IF(S40="",0,MAX(0,MIN(1,1-(S40-3)/27)))</f>
        <v>0.777777777777778</v>
      </c>
      <c r="BP40" s="16" t="n">
        <f aca="false">ROUND(BK40*'SCORING METHOD'!$C$12+BL40*'SCORING METHOD'!$C$13+BM40*'SCORING METHOD'!$C$14+BN40*'SCORING METHOD'!$C$15+BO40*'SCORING METHOD'!$C$16,1)</f>
        <v>7.8</v>
      </c>
      <c r="BQ40" s="16" t="n">
        <f aca="false">ROUND((N(AZ40)+N(BA40)+N(BB40)+N(BC40))/20*100,1)</f>
        <v>30</v>
      </c>
      <c r="BR40" s="17" t="n">
        <f aca="false">IFERROR(INDEX('DATA SUFFICIENCY'!$J$2:$J$63,MATCH(C40,'DATA SUFFICIENCY'!$B$2:$B$63,0)),0)</f>
        <v>0.3</v>
      </c>
      <c r="BS40" s="16" t="n">
        <f aca="false">ROUND('SCORING METHOD'!$C$17*BJ40+'SCORING METHOD'!$C$18*BP40+'SCORING METHOD'!$C$19*BQ40+'SCORING METHOD'!$C$20*BR40*100,1)</f>
        <v>21.7</v>
      </c>
      <c r="BT40" s="15" t="n">
        <f aca="false">IF(F40="INCLUDED",BJ40+(1000-ROW())/100000,-1)</f>
        <v>-1</v>
      </c>
      <c r="BU40" s="15" t="n">
        <f aca="false">IF(F40="INCLUDED",BP40+(1000-ROW())/100000,-1)</f>
        <v>-1</v>
      </c>
      <c r="BV40" s="15" t="n">
        <f aca="false">IF(F40="INCLUDED",BQ40+(1000-ROW())/100000,-1)</f>
        <v>-1</v>
      </c>
      <c r="BW40" s="15" t="n">
        <f aca="false">IF(F40="INCLUDED",BS40+(1000-ROW())/100000,-1)</f>
        <v>-1</v>
      </c>
      <c r="BX40" s="2"/>
    </row>
    <row r="41" customFormat="false" ht="15" hidden="false" customHeight="false" outlineLevel="0" collapsed="false">
      <c r="A41" s="2" t="n">
        <v>40</v>
      </c>
      <c r="B41" s="2" t="s">
        <v>797</v>
      </c>
      <c r="C41" s="2" t="s">
        <v>798</v>
      </c>
      <c r="D41" s="3" t="s">
        <v>799</v>
      </c>
      <c r="E41" s="2" t="s">
        <v>792</v>
      </c>
      <c r="F41" s="2" t="s">
        <v>793</v>
      </c>
      <c r="G41" s="2" t="s">
        <v>800</v>
      </c>
      <c r="H41" s="2" t="s">
        <v>801</v>
      </c>
      <c r="I41" s="2"/>
      <c r="J41" s="2" t="s">
        <v>278</v>
      </c>
      <c r="K41" s="11" t="n">
        <v>66</v>
      </c>
      <c r="L41" s="11"/>
      <c r="M41" s="11" t="n">
        <v>30</v>
      </c>
      <c r="N41" s="2"/>
      <c r="O41" s="2"/>
      <c r="P41" s="12" t="n">
        <v>46289</v>
      </c>
      <c r="Q41" s="2"/>
      <c r="R41" s="12" t="n">
        <v>46303</v>
      </c>
      <c r="S41" s="2" t="n">
        <f aca="false">IF(R41="","",'SCORING METHOD'!$C$5-R41)</f>
        <v>1</v>
      </c>
      <c r="T41" s="2"/>
      <c r="U41" s="2"/>
      <c r="V41" s="2"/>
      <c r="W41" s="2" t="str">
        <f aca="false">IF(U41="","",U41/2)</f>
        <v/>
      </c>
      <c r="X41" s="11" t="n">
        <v>28</v>
      </c>
      <c r="Y41" s="11"/>
      <c r="Z41" s="11"/>
      <c r="AA41" s="11"/>
      <c r="AB41" s="2"/>
      <c r="AC41" s="13" t="n">
        <f aca="false">IF(OR(X41="",K41="",K41=0),"",(X41+N(Z41))/K41)</f>
        <v>0.424242424242424</v>
      </c>
      <c r="AD41" s="2" t="str">
        <f aca="false">IF(AC41="","UNKNOWN",IF(AC41&gt;=0.05,"Very high",IF(AC41&gt;=0.02,"High",IF(AC41&gt;=0.005,"Medium","Low"))))</f>
        <v>Very high</v>
      </c>
      <c r="AE41" s="11"/>
      <c r="AF41" s="11"/>
      <c r="AG41" s="11" t="n">
        <v>101</v>
      </c>
      <c r="AH41" s="2"/>
      <c r="AI41" s="2"/>
      <c r="AJ41" s="11"/>
      <c r="AK41" s="2"/>
      <c r="AL41" s="11"/>
      <c r="AM41" s="2"/>
      <c r="AN41" s="2"/>
      <c r="AO41" s="2" t="s">
        <v>802</v>
      </c>
      <c r="AP41" s="2"/>
      <c r="AQ41" s="2"/>
      <c r="AR41" s="2"/>
      <c r="AS41" s="2"/>
      <c r="AT41" s="2" t="s">
        <v>37</v>
      </c>
      <c r="AU41" s="2"/>
      <c r="AV41" s="2"/>
      <c r="AW41" s="2"/>
      <c r="AX41" s="2"/>
      <c r="AY41" s="14" t="n">
        <v>1</v>
      </c>
      <c r="AZ41" s="14" t="n">
        <v>2</v>
      </c>
      <c r="BA41" s="14" t="n">
        <v>2</v>
      </c>
      <c r="BB41" s="14" t="n">
        <v>1</v>
      </c>
      <c r="BC41" s="14" t="n">
        <v>1</v>
      </c>
      <c r="BD41" s="15" t="n">
        <f aca="false">IF(K41="",0,MAX(0,MIN(1,(LOG10(MAX(1,K41))-3)/4)))</f>
        <v>0</v>
      </c>
      <c r="BE41" s="15" t="n">
        <f aca="false">IF(X41="",0,MAX(0,MIN(1,(LOG10(MAX(1,X41))-2)/4)))</f>
        <v>0</v>
      </c>
      <c r="BF41" s="15" t="n">
        <f aca="false">IF(AG41="",0,MAX(0,MIN(1,(LOG10(MAX(1,AG41))-3)/4)))</f>
        <v>0</v>
      </c>
      <c r="BG41" s="15" t="n">
        <f aca="false">IF(V41="",0,MIN(1,V41/20))</f>
        <v>0</v>
      </c>
      <c r="BH41" s="15" t="n">
        <f aca="false">MAX(IF(P41="",0,MIN(1,('SCORING METHOD'!$C$5-P41)/730)),IF(M41="",0,MAX(0,MIN(1,(LOG10(MAX(1,M41))-1)/2.5))))</f>
        <v>0.190848501887865</v>
      </c>
      <c r="BI41" s="15" t="n">
        <f aca="false">IF(J41="Y",0.4,0)+0.6*N(AY41)/5</f>
        <v>0.12</v>
      </c>
      <c r="BJ41" s="16" t="n">
        <f aca="false">ROUND(BD41*'SCORING METHOD'!$C$6+BE41*'SCORING METHOD'!$C$7+BF41*'SCORING METHOD'!$C$8+BG41*'SCORING METHOD'!$C$9+BH41*'SCORING METHOD'!$C$10+BI41*'SCORING METHOD'!$C$11,1)</f>
        <v>3.1</v>
      </c>
      <c r="BK41" s="15" t="n">
        <f aca="false">IF(AE41="",0,MAX(0,MIN(1,(LOG10(MAX(1,IF(X41="",AE41,MIN(AE41,X41))))-2)/4)))</f>
        <v>0</v>
      </c>
      <c r="BL41" s="15" t="n">
        <f aca="false">IF(AL41="",0,MAX(0,MIN(1,(LOG10(MAX(1,AL41))-3)/4)))</f>
        <v>0</v>
      </c>
      <c r="BM41" s="15" t="n">
        <f aca="false">IF(U41="",0,MIN(1,U41/14))</f>
        <v>0</v>
      </c>
      <c r="BN41" s="15" t="n">
        <f aca="false">IF(OR(P41="",K41="",N41="",M41="",M41=0),0,IF(AND('SCORING METHOD'!$C$5-P41&lt;=60,N41/M41&gt;=0.5),MAX(0,MIN(1,(LOG10(MAX(1,K41/MAX(1,'SCORING METHOD'!$C$5-P41)))-2)/2.5)),0))</f>
        <v>0</v>
      </c>
      <c r="BO41" s="15" t="n">
        <f aca="false">IF(S41="",0,MAX(0,MIN(1,1-(S41-3)/27)))</f>
        <v>1</v>
      </c>
      <c r="BP41" s="16" t="n">
        <f aca="false">ROUND(BK41*'SCORING METHOD'!$C$12+BL41*'SCORING METHOD'!$C$13+BM41*'SCORING METHOD'!$C$14+BN41*'SCORING METHOD'!$C$15+BO41*'SCORING METHOD'!$C$16,1)</f>
        <v>10</v>
      </c>
      <c r="BQ41" s="16" t="n">
        <f aca="false">ROUND((N(AZ41)+N(BA41)+N(BB41)+N(BC41))/20*100,1)</f>
        <v>30</v>
      </c>
      <c r="BR41" s="17" t="n">
        <f aca="false">IFERROR(INDEX('DATA SUFFICIENCY'!$J$2:$J$63,MATCH(C41,'DATA SUFFICIENCY'!$B$2:$B$63,0)),0)</f>
        <v>0.3</v>
      </c>
      <c r="BS41" s="16" t="n">
        <f aca="false">ROUND('SCORING METHOD'!$C$17*BJ41+'SCORING METHOD'!$C$18*BP41+'SCORING METHOD'!$C$19*BQ41+'SCORING METHOD'!$C$20*BR41*100,1)</f>
        <v>14.6</v>
      </c>
      <c r="BT41" s="15" t="n">
        <f aca="false">IF(F41="INCLUDED",BJ41+(1000-ROW())/100000,-1)</f>
        <v>-1</v>
      </c>
      <c r="BU41" s="15" t="n">
        <f aca="false">IF(F41="INCLUDED",BP41+(1000-ROW())/100000,-1)</f>
        <v>-1</v>
      </c>
      <c r="BV41" s="15" t="n">
        <f aca="false">IF(F41="INCLUDED",BQ41+(1000-ROW())/100000,-1)</f>
        <v>-1</v>
      </c>
      <c r="BW41" s="15" t="n">
        <f aca="false">IF(F41="INCLUDED",BS41+(1000-ROW())/100000,-1)</f>
        <v>-1</v>
      </c>
      <c r="BX41" s="2"/>
    </row>
    <row r="42" customFormat="false" ht="15" hidden="false" customHeight="false" outlineLevel="0" collapsed="false">
      <c r="A42" s="2" t="n">
        <v>41</v>
      </c>
      <c r="B42" s="2" t="s">
        <v>803</v>
      </c>
      <c r="C42" s="2" t="s">
        <v>804</v>
      </c>
      <c r="D42" s="3" t="s">
        <v>805</v>
      </c>
      <c r="E42" s="2" t="s">
        <v>792</v>
      </c>
      <c r="F42" s="2" t="s">
        <v>793</v>
      </c>
      <c r="G42" s="2" t="s">
        <v>806</v>
      </c>
      <c r="H42" s="2" t="s">
        <v>807</v>
      </c>
      <c r="I42" s="2"/>
      <c r="J42" s="2" t="s">
        <v>352</v>
      </c>
      <c r="K42" s="11" t="n">
        <v>667271</v>
      </c>
      <c r="L42" s="11"/>
      <c r="M42" s="11" t="n">
        <v>5829</v>
      </c>
      <c r="N42" s="2"/>
      <c r="O42" s="2"/>
      <c r="P42" s="2"/>
      <c r="Q42" s="2"/>
      <c r="R42" s="12" t="n">
        <v>46304</v>
      </c>
      <c r="S42" s="2" t="n">
        <f aca="false">IF(R42="","",'SCORING METHOD'!$C$5-R42)</f>
        <v>0</v>
      </c>
      <c r="T42" s="2"/>
      <c r="U42" s="2"/>
      <c r="V42" s="2"/>
      <c r="W42" s="2" t="str">
        <f aca="false">IF(U42="","",U42/2)</f>
        <v/>
      </c>
      <c r="X42" s="11" t="n">
        <v>2991</v>
      </c>
      <c r="Y42" s="11"/>
      <c r="Z42" s="11"/>
      <c r="AA42" s="11"/>
      <c r="AB42" s="2"/>
      <c r="AC42" s="13" t="n">
        <f aca="false">IF(OR(X42="",K42="",K42=0),"",(X42+N(Z42))/K42)</f>
        <v>0.0044824366711576</v>
      </c>
      <c r="AD42" s="2" t="str">
        <f aca="false">IF(AC42="","UNKNOWN",IF(AC42&gt;=0.05,"Very high",IF(AC42&gt;=0.02,"High",IF(AC42&gt;=0.005,"Medium","Low"))))</f>
        <v>Low</v>
      </c>
      <c r="AE42" s="11"/>
      <c r="AF42" s="11"/>
      <c r="AG42" s="11" t="n">
        <v>1106528</v>
      </c>
      <c r="AH42" s="2"/>
      <c r="AI42" s="2"/>
      <c r="AJ42" s="11"/>
      <c r="AK42" s="2"/>
      <c r="AL42" s="11"/>
      <c r="AM42" s="2"/>
      <c r="AN42" s="2"/>
      <c r="AO42" s="2"/>
      <c r="AP42" s="2"/>
      <c r="AQ42" s="2"/>
      <c r="AR42" s="2"/>
      <c r="AS42" s="2"/>
      <c r="AT42" s="2" t="s">
        <v>808</v>
      </c>
      <c r="AU42" s="2"/>
      <c r="AV42" s="2"/>
      <c r="AW42" s="2"/>
      <c r="AX42" s="2"/>
      <c r="AY42" s="14" t="n">
        <v>1</v>
      </c>
      <c r="AZ42" s="14" t="n">
        <v>2</v>
      </c>
      <c r="BA42" s="14" t="n">
        <v>2</v>
      </c>
      <c r="BB42" s="14" t="n">
        <v>1</v>
      </c>
      <c r="BC42" s="14" t="n">
        <v>1</v>
      </c>
      <c r="BD42" s="15" t="n">
        <f aca="false">IF(K42="",0,MAX(0,MIN(1,(LOG10(MAX(1,K42))-3)/4)))</f>
        <v>0.706075562640216</v>
      </c>
      <c r="BE42" s="15" t="n">
        <f aca="false">IF(X42="",0,MAX(0,MIN(1,(LOG10(MAX(1,X42))-2)/4)))</f>
        <v>0.36895410325783</v>
      </c>
      <c r="BF42" s="15" t="n">
        <f aca="false">IF(AG42="",0,MAX(0,MIN(1,(LOG10(MAX(1,AG42))-3)/4)))</f>
        <v>0.760990601988241</v>
      </c>
      <c r="BG42" s="15" t="n">
        <f aca="false">IF(V42="",0,MIN(1,V42/20))</f>
        <v>0</v>
      </c>
      <c r="BH42" s="15" t="n">
        <f aca="false">MAX(IF(P42="",0,MIN(1,('SCORING METHOD'!$C$5-P42)/730)),IF(M42="",0,MAX(0,MIN(1,(LOG10(MAX(1,M42))-1)/2.5))))</f>
        <v>1</v>
      </c>
      <c r="BI42" s="15" t="n">
        <f aca="false">IF(J42="Y",0.4,0)+0.6*N(AY42)/5</f>
        <v>0.52</v>
      </c>
      <c r="BJ42" s="16" t="n">
        <f aca="false">ROUND(BD42*'SCORING METHOD'!$C$6+BE42*'SCORING METHOD'!$C$7+BF42*'SCORING METHOD'!$C$8+BG42*'SCORING METHOD'!$C$9+BH42*'SCORING METHOD'!$C$10+BI42*'SCORING METHOD'!$C$11,1)</f>
        <v>59</v>
      </c>
      <c r="BK42" s="15" t="n">
        <f aca="false">IF(AE42="",0,MAX(0,MIN(1,(LOG10(MAX(1,IF(X42="",AE42,MIN(AE42,X42))))-2)/4)))</f>
        <v>0</v>
      </c>
      <c r="BL42" s="15" t="n">
        <f aca="false">IF(AL42="",0,MAX(0,MIN(1,(LOG10(MAX(1,AL42))-3)/4)))</f>
        <v>0</v>
      </c>
      <c r="BM42" s="15" t="n">
        <f aca="false">IF(U42="",0,MIN(1,U42/14))</f>
        <v>0</v>
      </c>
      <c r="BN42" s="15" t="n">
        <f aca="false">IF(OR(P42="",K42="",N42="",M42="",M42=0),0,IF(AND('SCORING METHOD'!$C$5-P42&lt;=60,N42/M42&gt;=0.5),MAX(0,MIN(1,(LOG10(MAX(1,K42/MAX(1,'SCORING METHOD'!$C$5-P42)))-2)/2.5)),0))</f>
        <v>0</v>
      </c>
      <c r="BO42" s="15" t="n">
        <f aca="false">IF(S42="",0,MAX(0,MIN(1,1-(S42-3)/27)))</f>
        <v>1</v>
      </c>
      <c r="BP42" s="16" t="n">
        <f aca="false">ROUND(BK42*'SCORING METHOD'!$C$12+BL42*'SCORING METHOD'!$C$13+BM42*'SCORING METHOD'!$C$14+BN42*'SCORING METHOD'!$C$15+BO42*'SCORING METHOD'!$C$16,1)</f>
        <v>10</v>
      </c>
      <c r="BQ42" s="16" t="n">
        <f aca="false">ROUND((N(AZ42)+N(BA42)+N(BB42)+N(BC42))/20*100,1)</f>
        <v>30</v>
      </c>
      <c r="BR42" s="17" t="n">
        <f aca="false">IFERROR(INDEX('DATA SUFFICIENCY'!$J$2:$J$63,MATCH(C42,'DATA SUFFICIENCY'!$B$2:$B$63,0)),0)</f>
        <v>0.3</v>
      </c>
      <c r="BS42" s="16" t="n">
        <f aca="false">ROUND('SCORING METHOD'!$C$17*BJ42+'SCORING METHOD'!$C$18*BP42+'SCORING METHOD'!$C$19*BQ42+'SCORING METHOD'!$C$20*BR42*100,1)</f>
        <v>34.2</v>
      </c>
      <c r="BT42" s="15" t="n">
        <f aca="false">IF(F42="INCLUDED",BJ42+(1000-ROW())/100000,-1)</f>
        <v>-1</v>
      </c>
      <c r="BU42" s="15" t="n">
        <f aca="false">IF(F42="INCLUDED",BP42+(1000-ROW())/100000,-1)</f>
        <v>-1</v>
      </c>
      <c r="BV42" s="15" t="n">
        <f aca="false">IF(F42="INCLUDED",BQ42+(1000-ROW())/100000,-1)</f>
        <v>-1</v>
      </c>
      <c r="BW42" s="15" t="n">
        <f aca="false">IF(F42="INCLUDED",BS42+(1000-ROW())/100000,-1)</f>
        <v>-1</v>
      </c>
      <c r="BX42" s="2"/>
    </row>
    <row r="43" customFormat="false" ht="15" hidden="false" customHeight="false" outlineLevel="0" collapsed="false">
      <c r="A43" s="2" t="n">
        <v>42</v>
      </c>
      <c r="B43" s="2" t="s">
        <v>809</v>
      </c>
      <c r="C43" s="2" t="s">
        <v>810</v>
      </c>
      <c r="D43" s="3" t="s">
        <v>811</v>
      </c>
      <c r="E43" s="2" t="s">
        <v>792</v>
      </c>
      <c r="F43" s="2" t="s">
        <v>793</v>
      </c>
      <c r="G43" s="2" t="s">
        <v>812</v>
      </c>
      <c r="H43" s="2"/>
      <c r="I43" s="2"/>
      <c r="J43" s="2" t="s">
        <v>278</v>
      </c>
      <c r="K43" s="11" t="n">
        <v>8220</v>
      </c>
      <c r="L43" s="11"/>
      <c r="M43" s="11" t="n">
        <v>54</v>
      </c>
      <c r="N43" s="2"/>
      <c r="O43" s="2"/>
      <c r="P43" s="2"/>
      <c r="Q43" s="2"/>
      <c r="R43" s="12" t="n">
        <v>46304</v>
      </c>
      <c r="S43" s="2" t="n">
        <f aca="false">IF(R43="","",'SCORING METHOD'!$C$5-R43)</f>
        <v>0</v>
      </c>
      <c r="T43" s="2"/>
      <c r="U43" s="2"/>
      <c r="V43" s="2"/>
      <c r="W43" s="2" t="str">
        <f aca="false">IF(U43="","",U43/2)</f>
        <v/>
      </c>
      <c r="X43" s="11" t="n">
        <v>1382</v>
      </c>
      <c r="Y43" s="11"/>
      <c r="Z43" s="11"/>
      <c r="AA43" s="11"/>
      <c r="AB43" s="2"/>
      <c r="AC43" s="13" t="n">
        <f aca="false">IF(OR(X43="",K43="",K43=0),"",(X43+N(Z43))/K43)</f>
        <v>0.168126520681265</v>
      </c>
      <c r="AD43" s="2" t="str">
        <f aca="false">IF(AC43="","UNKNOWN",IF(AC43&gt;=0.05,"Very high",IF(AC43&gt;=0.02,"High",IF(AC43&gt;=0.005,"Medium","Low"))))</f>
        <v>Very high</v>
      </c>
      <c r="AE43" s="11"/>
      <c r="AF43" s="11"/>
      <c r="AG43" s="11" t="n">
        <v>17374</v>
      </c>
      <c r="AH43" s="2"/>
      <c r="AI43" s="2"/>
      <c r="AJ43" s="11"/>
      <c r="AK43" s="2"/>
      <c r="AL43" s="11"/>
      <c r="AM43" s="2"/>
      <c r="AN43" s="2"/>
      <c r="AO43" s="2" t="s">
        <v>813</v>
      </c>
      <c r="AP43" s="2"/>
      <c r="AQ43" s="2"/>
      <c r="AR43" s="2"/>
      <c r="AS43" s="2"/>
      <c r="AT43" s="2"/>
      <c r="AU43" s="2"/>
      <c r="AV43" s="2"/>
      <c r="AW43" s="2"/>
      <c r="AX43" s="2"/>
      <c r="AY43" s="14" t="n">
        <v>1</v>
      </c>
      <c r="AZ43" s="14" t="n">
        <v>2</v>
      </c>
      <c r="BA43" s="14" t="n">
        <v>2</v>
      </c>
      <c r="BB43" s="14" t="n">
        <v>1</v>
      </c>
      <c r="BC43" s="14" t="n">
        <v>1</v>
      </c>
      <c r="BD43" s="15" t="n">
        <f aca="false">IF(K43="",0,MAX(0,MIN(1,(LOG10(MAX(1,K43))-3)/4)))</f>
        <v>0.228717954385013</v>
      </c>
      <c r="BE43" s="15" t="n">
        <f aca="false">IF(X43="",0,MAX(0,MIN(1,(LOG10(MAX(1,X43))-2)/4)))</f>
        <v>0.285127010759545</v>
      </c>
      <c r="BF43" s="15" t="n">
        <f aca="false">IF(AG43="",0,MAX(0,MIN(1,(LOG10(MAX(1,AG43))-3)/4)))</f>
        <v>0.309974954294242</v>
      </c>
      <c r="BG43" s="15" t="n">
        <f aca="false">IF(V43="",0,MIN(1,V43/20))</f>
        <v>0</v>
      </c>
      <c r="BH43" s="15" t="n">
        <f aca="false">MAX(IF(P43="",0,MIN(1,('SCORING METHOD'!$C$5-P43)/730)),IF(M43="",0,MAX(0,MIN(1,(LOG10(MAX(1,M43))-1)/2.5))))</f>
        <v>0.292957503929187</v>
      </c>
      <c r="BI43" s="15" t="n">
        <f aca="false">IF(J43="Y",0.4,0)+0.6*N(AY43)/5</f>
        <v>0.12</v>
      </c>
      <c r="BJ43" s="16" t="n">
        <f aca="false">ROUND(BD43*'SCORING METHOD'!$C$6+BE43*'SCORING METHOD'!$C$7+BF43*'SCORING METHOD'!$C$8+BG43*'SCORING METHOD'!$C$9+BH43*'SCORING METHOD'!$C$10+BI43*'SCORING METHOD'!$C$11,1)</f>
        <v>22.9</v>
      </c>
      <c r="BK43" s="15" t="n">
        <f aca="false">IF(AE43="",0,MAX(0,MIN(1,(LOG10(MAX(1,IF(X43="",AE43,MIN(AE43,X43))))-2)/4)))</f>
        <v>0</v>
      </c>
      <c r="BL43" s="15" t="n">
        <f aca="false">IF(AL43="",0,MAX(0,MIN(1,(LOG10(MAX(1,AL43))-3)/4)))</f>
        <v>0</v>
      </c>
      <c r="BM43" s="15" t="n">
        <f aca="false">IF(U43="",0,MIN(1,U43/14))</f>
        <v>0</v>
      </c>
      <c r="BN43" s="15" t="n">
        <f aca="false">IF(OR(P43="",K43="",N43="",M43="",M43=0),0,IF(AND('SCORING METHOD'!$C$5-P43&lt;=60,N43/M43&gt;=0.5),MAX(0,MIN(1,(LOG10(MAX(1,K43/MAX(1,'SCORING METHOD'!$C$5-P43)))-2)/2.5)),0))</f>
        <v>0</v>
      </c>
      <c r="BO43" s="15" t="n">
        <f aca="false">IF(S43="",0,MAX(0,MIN(1,1-(S43-3)/27)))</f>
        <v>1</v>
      </c>
      <c r="BP43" s="16" t="n">
        <f aca="false">ROUND(BK43*'SCORING METHOD'!$C$12+BL43*'SCORING METHOD'!$C$13+BM43*'SCORING METHOD'!$C$14+BN43*'SCORING METHOD'!$C$15+BO43*'SCORING METHOD'!$C$16,1)</f>
        <v>10</v>
      </c>
      <c r="BQ43" s="16" t="n">
        <f aca="false">ROUND((N(AZ43)+N(BA43)+N(BB43)+N(BC43))/20*100,1)</f>
        <v>30</v>
      </c>
      <c r="BR43" s="17" t="n">
        <f aca="false">IFERROR(INDEX('DATA SUFFICIENCY'!$J$2:$J$63,MATCH(C43,'DATA SUFFICIENCY'!$B$2:$B$63,0)),0)</f>
        <v>0.3</v>
      </c>
      <c r="BS43" s="16" t="n">
        <f aca="false">ROUND('SCORING METHOD'!$C$17*BJ43+'SCORING METHOD'!$C$18*BP43+'SCORING METHOD'!$C$19*BQ43+'SCORING METHOD'!$C$20*BR43*100,1)</f>
        <v>21.5</v>
      </c>
      <c r="BT43" s="15" t="n">
        <f aca="false">IF(F43="INCLUDED",BJ43+(1000-ROW())/100000,-1)</f>
        <v>-1</v>
      </c>
      <c r="BU43" s="15" t="n">
        <f aca="false">IF(F43="INCLUDED",BP43+(1000-ROW())/100000,-1)</f>
        <v>-1</v>
      </c>
      <c r="BV43" s="15" t="n">
        <f aca="false">IF(F43="INCLUDED",BQ43+(1000-ROW())/100000,-1)</f>
        <v>-1</v>
      </c>
      <c r="BW43" s="15" t="n">
        <f aca="false">IF(F43="INCLUDED",BS43+(1000-ROW())/100000,-1)</f>
        <v>-1</v>
      </c>
      <c r="BX43" s="2"/>
    </row>
    <row r="44" customFormat="false" ht="15" hidden="false" customHeight="false" outlineLevel="0" collapsed="false">
      <c r="A44" s="2" t="n">
        <v>43</v>
      </c>
      <c r="B44" s="2" t="s">
        <v>814</v>
      </c>
      <c r="C44" s="2" t="s">
        <v>815</v>
      </c>
      <c r="D44" s="3" t="s">
        <v>816</v>
      </c>
      <c r="E44" s="2" t="s">
        <v>792</v>
      </c>
      <c r="F44" s="2" t="s">
        <v>793</v>
      </c>
      <c r="G44" s="2" t="s">
        <v>817</v>
      </c>
      <c r="H44" s="2"/>
      <c r="I44" s="2"/>
      <c r="J44" s="2" t="s">
        <v>278</v>
      </c>
      <c r="K44" s="11" t="n">
        <v>23520</v>
      </c>
      <c r="L44" s="11"/>
      <c r="M44" s="11" t="n">
        <v>99</v>
      </c>
      <c r="N44" s="2"/>
      <c r="O44" s="2"/>
      <c r="P44" s="2"/>
      <c r="Q44" s="2"/>
      <c r="R44" s="12" t="n">
        <v>46303</v>
      </c>
      <c r="S44" s="2" t="n">
        <f aca="false">IF(R44="","",'SCORING METHOD'!$C$5-R44)</f>
        <v>1</v>
      </c>
      <c r="T44" s="2"/>
      <c r="U44" s="2"/>
      <c r="V44" s="2"/>
      <c r="W44" s="2" t="str">
        <f aca="false">IF(U44="","",U44/2)</f>
        <v/>
      </c>
      <c r="X44" s="11" t="n">
        <v>268</v>
      </c>
      <c r="Y44" s="11"/>
      <c r="Z44" s="11"/>
      <c r="AA44" s="11"/>
      <c r="AB44" s="2"/>
      <c r="AC44" s="13" t="n">
        <f aca="false">IF(OR(X44="",K44="",K44=0),"",(X44+N(Z44))/K44)</f>
        <v>0.0113945578231293</v>
      </c>
      <c r="AD44" s="2" t="str">
        <f aca="false">IF(AC44="","UNKNOWN",IF(AC44&gt;=0.05,"Very high",IF(AC44&gt;=0.02,"High",IF(AC44&gt;=0.005,"Medium","Low"))))</f>
        <v>Medium</v>
      </c>
      <c r="AE44" s="11"/>
      <c r="AF44" s="11"/>
      <c r="AG44" s="11" t="n">
        <v>55510</v>
      </c>
      <c r="AH44" s="2"/>
      <c r="AI44" s="2"/>
      <c r="AJ44" s="11"/>
      <c r="AK44" s="2"/>
      <c r="AL44" s="11"/>
      <c r="AM44" s="2"/>
      <c r="AN44" s="2"/>
      <c r="AO44" s="2" t="s">
        <v>818</v>
      </c>
      <c r="AP44" s="2"/>
      <c r="AQ44" s="2"/>
      <c r="AR44" s="2"/>
      <c r="AS44" s="2"/>
      <c r="AT44" s="2"/>
      <c r="AU44" s="2"/>
      <c r="AV44" s="2"/>
      <c r="AW44" s="2"/>
      <c r="AX44" s="2"/>
      <c r="AY44" s="14" t="n">
        <v>1</v>
      </c>
      <c r="AZ44" s="14" t="n">
        <v>2</v>
      </c>
      <c r="BA44" s="14" t="n">
        <v>2</v>
      </c>
      <c r="BB44" s="14" t="n">
        <v>1</v>
      </c>
      <c r="BC44" s="14" t="n">
        <v>1</v>
      </c>
      <c r="BD44" s="15" t="n">
        <f aca="false">IF(K44="",0,MAX(0,MIN(1,(LOG10(MAX(1,K44))-3)/4)))</f>
        <v>0.342859329351025</v>
      </c>
      <c r="BE44" s="15" t="n">
        <f aca="false">IF(X44="",0,MAX(0,MIN(1,(LOG10(MAX(1,X44))-2)/4)))</f>
        <v>0.107033698507197</v>
      </c>
      <c r="BF44" s="15" t="n">
        <f aca="false">IF(AG44="",0,MAX(0,MIN(1,(LOG10(MAX(1,AG44))-3)/4)))</f>
        <v>0.436092806832965</v>
      </c>
      <c r="BG44" s="15" t="n">
        <f aca="false">IF(V44="",0,MIN(1,V44/20))</f>
        <v>0</v>
      </c>
      <c r="BH44" s="15" t="n">
        <f aca="false">MAX(IF(P44="",0,MIN(1,('SCORING METHOD'!$C$5-P44)/730)),IF(M44="",0,MAX(0,MIN(1,(LOG10(MAX(1,M44))-1)/2.5))))</f>
        <v>0.39825407783902</v>
      </c>
      <c r="BI44" s="15" t="n">
        <f aca="false">IF(J44="Y",0.4,0)+0.6*N(AY44)/5</f>
        <v>0.12</v>
      </c>
      <c r="BJ44" s="16" t="n">
        <f aca="false">ROUND(BD44*'SCORING METHOD'!$C$6+BE44*'SCORING METHOD'!$C$7+BF44*'SCORING METHOD'!$C$8+BG44*'SCORING METHOD'!$C$9+BH44*'SCORING METHOD'!$C$10+BI44*'SCORING METHOD'!$C$11,1)</f>
        <v>26.3</v>
      </c>
      <c r="BK44" s="15" t="n">
        <f aca="false">IF(AE44="",0,MAX(0,MIN(1,(LOG10(MAX(1,IF(X44="",AE44,MIN(AE44,X44))))-2)/4)))</f>
        <v>0</v>
      </c>
      <c r="BL44" s="15" t="n">
        <f aca="false">IF(AL44="",0,MAX(0,MIN(1,(LOG10(MAX(1,AL44))-3)/4)))</f>
        <v>0</v>
      </c>
      <c r="BM44" s="15" t="n">
        <f aca="false">IF(U44="",0,MIN(1,U44/14))</f>
        <v>0</v>
      </c>
      <c r="BN44" s="15" t="n">
        <f aca="false">IF(OR(P44="",K44="",N44="",M44="",M44=0),0,IF(AND('SCORING METHOD'!$C$5-P44&lt;=60,N44/M44&gt;=0.5),MAX(0,MIN(1,(LOG10(MAX(1,K44/MAX(1,'SCORING METHOD'!$C$5-P44)))-2)/2.5)),0))</f>
        <v>0</v>
      </c>
      <c r="BO44" s="15" t="n">
        <f aca="false">IF(S44="",0,MAX(0,MIN(1,1-(S44-3)/27)))</f>
        <v>1</v>
      </c>
      <c r="BP44" s="16" t="n">
        <f aca="false">ROUND(BK44*'SCORING METHOD'!$C$12+BL44*'SCORING METHOD'!$C$13+BM44*'SCORING METHOD'!$C$14+BN44*'SCORING METHOD'!$C$15+BO44*'SCORING METHOD'!$C$16,1)</f>
        <v>10</v>
      </c>
      <c r="BQ44" s="16" t="n">
        <f aca="false">ROUND((N(AZ44)+N(BA44)+N(BB44)+N(BC44))/20*100,1)</f>
        <v>30</v>
      </c>
      <c r="BR44" s="17" t="n">
        <f aca="false">IFERROR(INDEX('DATA SUFFICIENCY'!$J$2:$J$63,MATCH(C44,'DATA SUFFICIENCY'!$B$2:$B$63,0)),0)</f>
        <v>0.3</v>
      </c>
      <c r="BS44" s="16" t="n">
        <f aca="false">ROUND('SCORING METHOD'!$C$17*BJ44+'SCORING METHOD'!$C$18*BP44+'SCORING METHOD'!$C$19*BQ44+'SCORING METHOD'!$C$20*BR44*100,1)</f>
        <v>22.7</v>
      </c>
      <c r="BT44" s="15" t="n">
        <f aca="false">IF(F44="INCLUDED",BJ44+(1000-ROW())/100000,-1)</f>
        <v>-1</v>
      </c>
      <c r="BU44" s="15" t="n">
        <f aca="false">IF(F44="INCLUDED",BP44+(1000-ROW())/100000,-1)</f>
        <v>-1</v>
      </c>
      <c r="BV44" s="15" t="n">
        <f aca="false">IF(F44="INCLUDED",BQ44+(1000-ROW())/100000,-1)</f>
        <v>-1</v>
      </c>
      <c r="BW44" s="15" t="n">
        <f aca="false">IF(F44="INCLUDED",BS44+(1000-ROW())/100000,-1)</f>
        <v>-1</v>
      </c>
      <c r="BX44" s="2"/>
    </row>
    <row r="45" customFormat="false" ht="15" hidden="false" customHeight="false" outlineLevel="0" collapsed="false">
      <c r="A45" s="2" t="n">
        <v>44</v>
      </c>
      <c r="B45" s="2" t="s">
        <v>819</v>
      </c>
      <c r="C45" s="2" t="s">
        <v>820</v>
      </c>
      <c r="D45" s="3" t="s">
        <v>821</v>
      </c>
      <c r="E45" s="2" t="s">
        <v>792</v>
      </c>
      <c r="F45" s="2" t="s">
        <v>793</v>
      </c>
      <c r="G45" s="2" t="s">
        <v>822</v>
      </c>
      <c r="H45" s="2"/>
      <c r="I45" s="2"/>
      <c r="J45" s="2" t="s">
        <v>278</v>
      </c>
      <c r="K45" s="11" t="n">
        <v>20917</v>
      </c>
      <c r="L45" s="11"/>
      <c r="M45" s="11" t="n">
        <v>40</v>
      </c>
      <c r="N45" s="2"/>
      <c r="O45" s="2"/>
      <c r="P45" s="2"/>
      <c r="Q45" s="2"/>
      <c r="R45" s="2"/>
      <c r="S45" s="2" t="str">
        <f aca="false">IF(R45="","",'SCORING METHOD'!$C$5-R45)</f>
        <v/>
      </c>
      <c r="T45" s="2"/>
      <c r="U45" s="2"/>
      <c r="V45" s="2"/>
      <c r="W45" s="2" t="str">
        <f aca="false">IF(U45="","",U45/2)</f>
        <v/>
      </c>
      <c r="X45" s="11"/>
      <c r="Y45" s="11"/>
      <c r="Z45" s="11"/>
      <c r="AA45" s="11"/>
      <c r="AB45" s="2"/>
      <c r="AC45" s="13" t="str">
        <f aca="false">IF(OR(X45="",K45="",K45=0),"",(X45+N(Z45))/K45)</f>
        <v/>
      </c>
      <c r="AD45" s="2" t="str">
        <f aca="false">IF(AC45="","UNKNOWN",IF(AC45&gt;=0.05,"Very high",IF(AC45&gt;=0.02,"High",IF(AC45&gt;=0.005,"Medium","Low"))))</f>
        <v>UNKNOWN</v>
      </c>
      <c r="AE45" s="11"/>
      <c r="AF45" s="11"/>
      <c r="AG45" s="11"/>
      <c r="AH45" s="2"/>
      <c r="AI45" s="2"/>
      <c r="AJ45" s="11"/>
      <c r="AK45" s="2"/>
      <c r="AL45" s="11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14" t="n">
        <v>1</v>
      </c>
      <c r="AZ45" s="14" t="n">
        <v>2</v>
      </c>
      <c r="BA45" s="14" t="n">
        <v>2</v>
      </c>
      <c r="BB45" s="14" t="n">
        <v>1</v>
      </c>
      <c r="BC45" s="14" t="n">
        <v>1</v>
      </c>
      <c r="BD45" s="15" t="n">
        <f aca="false">IF(K45="",0,MAX(0,MIN(1,(LOG10(MAX(1,K45))-3)/4)))</f>
        <v>0.330124849101467</v>
      </c>
      <c r="BE45" s="15" t="n">
        <f aca="false">IF(X45="",0,MAX(0,MIN(1,(LOG10(MAX(1,X45))-2)/4)))</f>
        <v>0</v>
      </c>
      <c r="BF45" s="15" t="n">
        <f aca="false">IF(AG45="",0,MAX(0,MIN(1,(LOG10(MAX(1,AG45))-3)/4)))</f>
        <v>0</v>
      </c>
      <c r="BG45" s="15" t="n">
        <f aca="false">IF(V45="",0,MIN(1,V45/20))</f>
        <v>0</v>
      </c>
      <c r="BH45" s="15" t="n">
        <f aca="false">MAX(IF(P45="",0,MIN(1,('SCORING METHOD'!$C$5-P45)/730)),IF(M45="",0,MAX(0,MIN(1,(LOG10(MAX(1,M45))-1)/2.5))))</f>
        <v>0.240823996531185</v>
      </c>
      <c r="BI45" s="15" t="n">
        <f aca="false">IF(J45="Y",0.4,0)+0.6*N(AY45)/5</f>
        <v>0.12</v>
      </c>
      <c r="BJ45" s="16" t="n">
        <f aca="false">ROUND(BD45*'SCORING METHOD'!$C$6+BE45*'SCORING METHOD'!$C$7+BF45*'SCORING METHOD'!$C$8+BG45*'SCORING METHOD'!$C$9+BH45*'SCORING METHOD'!$C$10+BI45*'SCORING METHOD'!$C$11,1)</f>
        <v>13.5</v>
      </c>
      <c r="BK45" s="15" t="n">
        <f aca="false">IF(AE45="",0,MAX(0,MIN(1,(LOG10(MAX(1,IF(X45="",AE45,MIN(AE45,X45))))-2)/4)))</f>
        <v>0</v>
      </c>
      <c r="BL45" s="15" t="n">
        <f aca="false">IF(AL45="",0,MAX(0,MIN(1,(LOG10(MAX(1,AL45))-3)/4)))</f>
        <v>0</v>
      </c>
      <c r="BM45" s="15" t="n">
        <f aca="false">IF(U45="",0,MIN(1,U45/14))</f>
        <v>0</v>
      </c>
      <c r="BN45" s="15" t="n">
        <f aca="false">IF(OR(P45="",K45="",N45="",M45="",M45=0),0,IF(AND('SCORING METHOD'!$C$5-P45&lt;=60,N45/M45&gt;=0.5),MAX(0,MIN(1,(LOG10(MAX(1,K45/MAX(1,'SCORING METHOD'!$C$5-P45)))-2)/2.5)),0))</f>
        <v>0</v>
      </c>
      <c r="BO45" s="15" t="n">
        <f aca="false">IF(S45="",0,MAX(0,MIN(1,1-(S45-3)/27)))</f>
        <v>0</v>
      </c>
      <c r="BP45" s="16" t="n">
        <f aca="false">ROUND(BK45*'SCORING METHOD'!$C$12+BL45*'SCORING METHOD'!$C$13+BM45*'SCORING METHOD'!$C$14+BN45*'SCORING METHOD'!$C$15+BO45*'SCORING METHOD'!$C$16,1)</f>
        <v>0</v>
      </c>
      <c r="BQ45" s="16" t="n">
        <f aca="false">ROUND((N(AZ45)+N(BA45)+N(BB45)+N(BC45))/20*100,1)</f>
        <v>30</v>
      </c>
      <c r="BR45" s="17" t="n">
        <f aca="false">IFERROR(INDEX('DATA SUFFICIENCY'!$J$2:$J$63,MATCH(C45,'DATA SUFFICIENCY'!$B$2:$B$63,0)),0)</f>
        <v>0.3</v>
      </c>
      <c r="BS45" s="16" t="n">
        <f aca="false">ROUND('SCORING METHOD'!$C$17*BJ45+'SCORING METHOD'!$C$18*BP45+'SCORING METHOD'!$C$19*BQ45+'SCORING METHOD'!$C$20*BR45*100,1)</f>
        <v>15.2</v>
      </c>
      <c r="BT45" s="15" t="n">
        <f aca="false">IF(F45="INCLUDED",BJ45+(1000-ROW())/100000,-1)</f>
        <v>-1</v>
      </c>
      <c r="BU45" s="15" t="n">
        <f aca="false">IF(F45="INCLUDED",BP45+(1000-ROW())/100000,-1)</f>
        <v>-1</v>
      </c>
      <c r="BV45" s="15" t="n">
        <f aca="false">IF(F45="INCLUDED",BQ45+(1000-ROW())/100000,-1)</f>
        <v>-1</v>
      </c>
      <c r="BW45" s="15" t="n">
        <f aca="false">IF(F45="INCLUDED",BS45+(1000-ROW())/100000,-1)</f>
        <v>-1</v>
      </c>
      <c r="BX45" s="2"/>
    </row>
    <row r="46" customFormat="false" ht="15" hidden="false" customHeight="false" outlineLevel="0" collapsed="false">
      <c r="A46" s="2" t="n">
        <v>45</v>
      </c>
      <c r="B46" s="2" t="s">
        <v>823</v>
      </c>
      <c r="C46" s="2" t="s">
        <v>824</v>
      </c>
      <c r="D46" s="3" t="s">
        <v>825</v>
      </c>
      <c r="E46" s="2" t="s">
        <v>792</v>
      </c>
      <c r="F46" s="2" t="s">
        <v>793</v>
      </c>
      <c r="G46" s="2" t="s">
        <v>826</v>
      </c>
      <c r="H46" s="2"/>
      <c r="I46" s="2"/>
      <c r="J46" s="2" t="s">
        <v>278</v>
      </c>
      <c r="K46" s="11" t="n">
        <v>4831</v>
      </c>
      <c r="L46" s="11"/>
      <c r="M46" s="11" t="n">
        <v>31</v>
      </c>
      <c r="N46" s="2"/>
      <c r="O46" s="2"/>
      <c r="P46" s="2"/>
      <c r="Q46" s="2"/>
      <c r="R46" s="2"/>
      <c r="S46" s="2" t="str">
        <f aca="false">IF(R46="","",'SCORING METHOD'!$C$5-R46)</f>
        <v/>
      </c>
      <c r="T46" s="2"/>
      <c r="U46" s="2"/>
      <c r="V46" s="2"/>
      <c r="W46" s="2" t="str">
        <f aca="false">IF(U46="","",U46/2)</f>
        <v/>
      </c>
      <c r="X46" s="11"/>
      <c r="Y46" s="11"/>
      <c r="Z46" s="11"/>
      <c r="AA46" s="11"/>
      <c r="AB46" s="2"/>
      <c r="AC46" s="13" t="str">
        <f aca="false">IF(OR(X46="",K46="",K46=0),"",(X46+N(Z46))/K46)</f>
        <v/>
      </c>
      <c r="AD46" s="2" t="str">
        <f aca="false">IF(AC46="","UNKNOWN",IF(AC46&gt;=0.05,"Very high",IF(AC46&gt;=0.02,"High",IF(AC46&gt;=0.005,"Medium","Low"))))</f>
        <v>UNKNOWN</v>
      </c>
      <c r="AE46" s="11"/>
      <c r="AF46" s="11"/>
      <c r="AG46" s="11"/>
      <c r="AH46" s="2"/>
      <c r="AI46" s="2"/>
      <c r="AJ46" s="11"/>
      <c r="AK46" s="2"/>
      <c r="AL46" s="11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14" t="n">
        <v>1</v>
      </c>
      <c r="AZ46" s="14" t="n">
        <v>2</v>
      </c>
      <c r="BA46" s="14" t="n">
        <v>2</v>
      </c>
      <c r="BB46" s="14" t="n">
        <v>1</v>
      </c>
      <c r="BC46" s="14" t="n">
        <v>1</v>
      </c>
      <c r="BD46" s="15" t="n">
        <f aca="false">IF(K46="",0,MAX(0,MIN(1,(LOG10(MAX(1,K46))-3)/4)))</f>
        <v>0.17100925937163</v>
      </c>
      <c r="BE46" s="15" t="n">
        <f aca="false">IF(X46="",0,MAX(0,MIN(1,(LOG10(MAX(1,X46))-2)/4)))</f>
        <v>0</v>
      </c>
      <c r="BF46" s="15" t="n">
        <f aca="false">IF(AG46="",0,MAX(0,MIN(1,(LOG10(MAX(1,AG46))-3)/4)))</f>
        <v>0</v>
      </c>
      <c r="BG46" s="15" t="n">
        <f aca="false">IF(V46="",0,MIN(1,V46/20))</f>
        <v>0</v>
      </c>
      <c r="BH46" s="15" t="n">
        <f aca="false">MAX(IF(P46="",0,MIN(1,('SCORING METHOD'!$C$5-P46)/730)),IF(M46="",0,MAX(0,MIN(1,(LOG10(MAX(1,M46))-1)/2.5))))</f>
        <v>0.196544677533709</v>
      </c>
      <c r="BI46" s="15" t="n">
        <f aca="false">IF(J46="Y",0.4,0)+0.6*N(AY46)/5</f>
        <v>0.12</v>
      </c>
      <c r="BJ46" s="16" t="n">
        <f aca="false">ROUND(BD46*'SCORING METHOD'!$C$6+BE46*'SCORING METHOD'!$C$7+BF46*'SCORING METHOD'!$C$8+BG46*'SCORING METHOD'!$C$9+BH46*'SCORING METHOD'!$C$10+BI46*'SCORING METHOD'!$C$11,1)</f>
        <v>8.3</v>
      </c>
      <c r="BK46" s="15" t="n">
        <f aca="false">IF(AE46="",0,MAX(0,MIN(1,(LOG10(MAX(1,IF(X46="",AE46,MIN(AE46,X46))))-2)/4)))</f>
        <v>0</v>
      </c>
      <c r="BL46" s="15" t="n">
        <f aca="false">IF(AL46="",0,MAX(0,MIN(1,(LOG10(MAX(1,AL46))-3)/4)))</f>
        <v>0</v>
      </c>
      <c r="BM46" s="15" t="n">
        <f aca="false">IF(U46="",0,MIN(1,U46/14))</f>
        <v>0</v>
      </c>
      <c r="BN46" s="15" t="n">
        <f aca="false">IF(OR(P46="",K46="",N46="",M46="",M46=0),0,IF(AND('SCORING METHOD'!$C$5-P46&lt;=60,N46/M46&gt;=0.5),MAX(0,MIN(1,(LOG10(MAX(1,K46/MAX(1,'SCORING METHOD'!$C$5-P46)))-2)/2.5)),0))</f>
        <v>0</v>
      </c>
      <c r="BO46" s="15" t="n">
        <f aca="false">IF(S46="",0,MAX(0,MIN(1,1-(S46-3)/27)))</f>
        <v>0</v>
      </c>
      <c r="BP46" s="16" t="n">
        <f aca="false">ROUND(BK46*'SCORING METHOD'!$C$12+BL46*'SCORING METHOD'!$C$13+BM46*'SCORING METHOD'!$C$14+BN46*'SCORING METHOD'!$C$15+BO46*'SCORING METHOD'!$C$16,1)</f>
        <v>0</v>
      </c>
      <c r="BQ46" s="16" t="n">
        <f aca="false">ROUND((N(AZ46)+N(BA46)+N(BB46)+N(BC46))/20*100,1)</f>
        <v>30</v>
      </c>
      <c r="BR46" s="17" t="n">
        <f aca="false">IFERROR(INDEX('DATA SUFFICIENCY'!$J$2:$J$63,MATCH(C46,'DATA SUFFICIENCY'!$B$2:$B$63,0)),0)</f>
        <v>0.3</v>
      </c>
      <c r="BS46" s="16" t="n">
        <f aca="false">ROUND('SCORING METHOD'!$C$17*BJ46+'SCORING METHOD'!$C$18*BP46+'SCORING METHOD'!$C$19*BQ46+'SCORING METHOD'!$C$20*BR46*100,1)</f>
        <v>13.4</v>
      </c>
      <c r="BT46" s="15" t="n">
        <f aca="false">IF(F46="INCLUDED",BJ46+(1000-ROW())/100000,-1)</f>
        <v>-1</v>
      </c>
      <c r="BU46" s="15" t="n">
        <f aca="false">IF(F46="INCLUDED",BP46+(1000-ROW())/100000,-1)</f>
        <v>-1</v>
      </c>
      <c r="BV46" s="15" t="n">
        <f aca="false">IF(F46="INCLUDED",BQ46+(1000-ROW())/100000,-1)</f>
        <v>-1</v>
      </c>
      <c r="BW46" s="15" t="n">
        <f aca="false">IF(F46="INCLUDED",BS46+(1000-ROW())/100000,-1)</f>
        <v>-1</v>
      </c>
      <c r="BX46" s="2"/>
    </row>
    <row r="47" customFormat="false" ht="15" hidden="false" customHeight="false" outlineLevel="0" collapsed="false">
      <c r="A47" s="2" t="n">
        <v>46</v>
      </c>
      <c r="B47" s="2" t="s">
        <v>827</v>
      </c>
      <c r="C47" s="2" t="s">
        <v>828</v>
      </c>
      <c r="D47" s="3" t="s">
        <v>829</v>
      </c>
      <c r="E47" s="2" t="s">
        <v>792</v>
      </c>
      <c r="F47" s="2" t="s">
        <v>793</v>
      </c>
      <c r="G47" s="2" t="s">
        <v>830</v>
      </c>
      <c r="H47" s="2"/>
      <c r="I47" s="2"/>
      <c r="J47" s="2" t="s">
        <v>352</v>
      </c>
      <c r="K47" s="11" t="n">
        <v>2537</v>
      </c>
      <c r="L47" s="11"/>
      <c r="M47" s="11" t="n">
        <v>16</v>
      </c>
      <c r="N47" s="2"/>
      <c r="O47" s="2"/>
      <c r="P47" s="2"/>
      <c r="Q47" s="2"/>
      <c r="R47" s="2"/>
      <c r="S47" s="2" t="str">
        <f aca="false">IF(R47="","",'SCORING METHOD'!$C$5-R47)</f>
        <v/>
      </c>
      <c r="T47" s="2"/>
      <c r="U47" s="2"/>
      <c r="V47" s="2"/>
      <c r="W47" s="2" t="str">
        <f aca="false">IF(U47="","",U47/2)</f>
        <v/>
      </c>
      <c r="X47" s="11" t="n">
        <v>93</v>
      </c>
      <c r="Y47" s="11"/>
      <c r="Z47" s="11"/>
      <c r="AA47" s="11"/>
      <c r="AB47" s="2"/>
      <c r="AC47" s="13" t="n">
        <f aca="false">IF(OR(X47="",K47="",K47=0),"",(X47+N(Z47))/K47)</f>
        <v>0.0366574694521088</v>
      </c>
      <c r="AD47" s="2" t="str">
        <f aca="false">IF(AC47="","UNKNOWN",IF(AC47&gt;=0.05,"Very high",IF(AC47&gt;=0.02,"High",IF(AC47&gt;=0.005,"Medium","Low"))))</f>
        <v>High</v>
      </c>
      <c r="AE47" s="11"/>
      <c r="AF47" s="11"/>
      <c r="AG47" s="11" t="n">
        <v>9693</v>
      </c>
      <c r="AH47" s="2"/>
      <c r="AI47" s="2"/>
      <c r="AJ47" s="11"/>
      <c r="AK47" s="2"/>
      <c r="AL47" s="11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14" t="n">
        <v>1</v>
      </c>
      <c r="AZ47" s="14" t="n">
        <v>2</v>
      </c>
      <c r="BA47" s="14" t="n">
        <v>2</v>
      </c>
      <c r="BB47" s="14" t="n">
        <v>1</v>
      </c>
      <c r="BC47" s="14" t="n">
        <v>1</v>
      </c>
      <c r="BD47" s="15" t="n">
        <f aca="false">IF(K47="",0,MAX(0,MIN(1,(LOG10(MAX(1,K47))-3)/4)))</f>
        <v>0.101080116805433</v>
      </c>
      <c r="BE47" s="15" t="n">
        <f aca="false">IF(X47="",0,MAX(0,MIN(1,(LOG10(MAX(1,X47))-2)/4)))</f>
        <v>0</v>
      </c>
      <c r="BF47" s="15" t="n">
        <f aca="false">IF(AG47="",0,MAX(0,MIN(1,(LOG10(MAX(1,AG47))-3)/4)))</f>
        <v>0.246614553184327</v>
      </c>
      <c r="BG47" s="15" t="n">
        <f aca="false">IF(V47="",0,MIN(1,V47/20))</f>
        <v>0</v>
      </c>
      <c r="BH47" s="15" t="n">
        <f aca="false">MAX(IF(P47="",0,MIN(1,('SCORING METHOD'!$C$5-P47)/730)),IF(M47="",0,MAX(0,MIN(1,(LOG10(MAX(1,M47))-1)/2.5))))</f>
        <v>0.0816479930623699</v>
      </c>
      <c r="BI47" s="15" t="n">
        <f aca="false">IF(J47="Y",0.4,0)+0.6*N(AY47)/5</f>
        <v>0.52</v>
      </c>
      <c r="BJ47" s="16" t="n">
        <f aca="false">ROUND(BD47*'SCORING METHOD'!$C$6+BE47*'SCORING METHOD'!$C$7+BF47*'SCORING METHOD'!$C$8+BG47*'SCORING METHOD'!$C$9+BH47*'SCORING METHOD'!$C$10+BI47*'SCORING METHOD'!$C$11,1)</f>
        <v>14</v>
      </c>
      <c r="BK47" s="15" t="n">
        <f aca="false">IF(AE47="",0,MAX(0,MIN(1,(LOG10(MAX(1,IF(X47="",AE47,MIN(AE47,X47))))-2)/4)))</f>
        <v>0</v>
      </c>
      <c r="BL47" s="15" t="n">
        <f aca="false">IF(AL47="",0,MAX(0,MIN(1,(LOG10(MAX(1,AL47))-3)/4)))</f>
        <v>0</v>
      </c>
      <c r="BM47" s="15" t="n">
        <f aca="false">IF(U47="",0,MIN(1,U47/14))</f>
        <v>0</v>
      </c>
      <c r="BN47" s="15" t="n">
        <f aca="false">IF(OR(P47="",K47="",N47="",M47="",M47=0),0,IF(AND('SCORING METHOD'!$C$5-P47&lt;=60,N47/M47&gt;=0.5),MAX(0,MIN(1,(LOG10(MAX(1,K47/MAX(1,'SCORING METHOD'!$C$5-P47)))-2)/2.5)),0))</f>
        <v>0</v>
      </c>
      <c r="BO47" s="15" t="n">
        <f aca="false">IF(S47="",0,MAX(0,MIN(1,1-(S47-3)/27)))</f>
        <v>0</v>
      </c>
      <c r="BP47" s="16" t="n">
        <f aca="false">ROUND(BK47*'SCORING METHOD'!$C$12+BL47*'SCORING METHOD'!$C$13+BM47*'SCORING METHOD'!$C$14+BN47*'SCORING METHOD'!$C$15+BO47*'SCORING METHOD'!$C$16,1)</f>
        <v>0</v>
      </c>
      <c r="BQ47" s="16" t="n">
        <f aca="false">ROUND((N(AZ47)+N(BA47)+N(BB47)+N(BC47))/20*100,1)</f>
        <v>30</v>
      </c>
      <c r="BR47" s="17" t="n">
        <f aca="false">IFERROR(INDEX('DATA SUFFICIENCY'!$J$2:$J$63,MATCH(C47,'DATA SUFFICIENCY'!$B$2:$B$63,0)),0)</f>
        <v>0.3</v>
      </c>
      <c r="BS47" s="16" t="n">
        <f aca="false">ROUND('SCORING METHOD'!$C$17*BJ47+'SCORING METHOD'!$C$18*BP47+'SCORING METHOD'!$C$19*BQ47+'SCORING METHOD'!$C$20*BR47*100,1)</f>
        <v>15.4</v>
      </c>
      <c r="BT47" s="15" t="n">
        <f aca="false">IF(F47="INCLUDED",BJ47+(1000-ROW())/100000,-1)</f>
        <v>-1</v>
      </c>
      <c r="BU47" s="15" t="n">
        <f aca="false">IF(F47="INCLUDED",BP47+(1000-ROW())/100000,-1)</f>
        <v>-1</v>
      </c>
      <c r="BV47" s="15" t="n">
        <f aca="false">IF(F47="INCLUDED",BQ47+(1000-ROW())/100000,-1)</f>
        <v>-1</v>
      </c>
      <c r="BW47" s="15" t="n">
        <f aca="false">IF(F47="INCLUDED",BS47+(1000-ROW())/100000,-1)</f>
        <v>-1</v>
      </c>
      <c r="BX47" s="2"/>
    </row>
    <row r="48" customFormat="false" ht="15" hidden="false" customHeight="false" outlineLevel="0" collapsed="false">
      <c r="A48" s="2" t="n">
        <v>47</v>
      </c>
      <c r="B48" s="2" t="s">
        <v>831</v>
      </c>
      <c r="C48" s="2" t="s">
        <v>832</v>
      </c>
      <c r="D48" s="3" t="s">
        <v>833</v>
      </c>
      <c r="E48" s="2" t="s">
        <v>792</v>
      </c>
      <c r="F48" s="2" t="s">
        <v>793</v>
      </c>
      <c r="G48" s="2" t="s">
        <v>834</v>
      </c>
      <c r="H48" s="2"/>
      <c r="I48" s="2"/>
      <c r="J48" s="2" t="s">
        <v>278</v>
      </c>
      <c r="K48" s="11" t="n">
        <v>33674</v>
      </c>
      <c r="L48" s="11"/>
      <c r="M48" s="11" t="n">
        <v>7</v>
      </c>
      <c r="N48" s="2"/>
      <c r="O48" s="2"/>
      <c r="P48" s="2"/>
      <c r="Q48" s="2"/>
      <c r="R48" s="12" t="n">
        <v>46303</v>
      </c>
      <c r="S48" s="2" t="n">
        <f aca="false">IF(R48="","",'SCORING METHOD'!$C$5-R48)</f>
        <v>1</v>
      </c>
      <c r="T48" s="2"/>
      <c r="U48" s="2"/>
      <c r="V48" s="2"/>
      <c r="W48" s="2" t="str">
        <f aca="false">IF(U48="","",U48/2)</f>
        <v/>
      </c>
      <c r="X48" s="11" t="n">
        <v>14</v>
      </c>
      <c r="Y48" s="11"/>
      <c r="Z48" s="11"/>
      <c r="AA48" s="11"/>
      <c r="AB48" s="2"/>
      <c r="AC48" s="13" t="n">
        <f aca="false">IF(OR(X48="",K48="",K48=0),"",(X48+N(Z48))/K48)</f>
        <v>0.00041575102452931</v>
      </c>
      <c r="AD48" s="2" t="str">
        <f aca="false">IF(AC48="","UNKNOWN",IF(AC48&gt;=0.05,"Very high",IF(AC48&gt;=0.02,"High",IF(AC48&gt;=0.005,"Medium","Low"))))</f>
        <v>Low</v>
      </c>
      <c r="AE48" s="11"/>
      <c r="AF48" s="11"/>
      <c r="AG48" s="11" t="n">
        <v>30</v>
      </c>
      <c r="AH48" s="2"/>
      <c r="AI48" s="2"/>
      <c r="AJ48" s="11"/>
      <c r="AK48" s="2"/>
      <c r="AL48" s="11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14" t="n">
        <v>1</v>
      </c>
      <c r="AZ48" s="14" t="n">
        <v>2</v>
      </c>
      <c r="BA48" s="14" t="n">
        <v>2</v>
      </c>
      <c r="BB48" s="14" t="n">
        <v>1</v>
      </c>
      <c r="BC48" s="14" t="n">
        <v>1</v>
      </c>
      <c r="BD48" s="15" t="n">
        <f aca="false">IF(K48="",0,MAX(0,MIN(1,(LOG10(MAX(1,K48))-3)/4)))</f>
        <v>0.381823676889919</v>
      </c>
      <c r="BE48" s="15" t="n">
        <f aca="false">IF(X48="",0,MAX(0,MIN(1,(LOG10(MAX(1,X48))-2)/4)))</f>
        <v>0</v>
      </c>
      <c r="BF48" s="15" t="n">
        <f aca="false">IF(AG48="",0,MAX(0,MIN(1,(LOG10(MAX(1,AG48))-3)/4)))</f>
        <v>0</v>
      </c>
      <c r="BG48" s="15" t="n">
        <f aca="false">IF(V48="",0,MIN(1,V48/20))</f>
        <v>0</v>
      </c>
      <c r="BH48" s="15" t="n">
        <f aca="false">MAX(IF(P48="",0,MIN(1,('SCORING METHOD'!$C$5-P48)/730)),IF(M48="",0,MAX(0,MIN(1,(LOG10(MAX(1,M48))-1)/2.5))))</f>
        <v>0</v>
      </c>
      <c r="BI48" s="15" t="n">
        <f aca="false">IF(J48="Y",0.4,0)+0.6*N(AY48)/5</f>
        <v>0.12</v>
      </c>
      <c r="BJ48" s="16" t="n">
        <f aca="false">ROUND(BD48*'SCORING METHOD'!$C$6+BE48*'SCORING METHOD'!$C$7+BF48*'SCORING METHOD'!$C$8+BG48*'SCORING METHOD'!$C$9+BH48*'SCORING METHOD'!$C$10+BI48*'SCORING METHOD'!$C$11,1)</f>
        <v>12.7</v>
      </c>
      <c r="BK48" s="15" t="n">
        <f aca="false">IF(AE48="",0,MAX(0,MIN(1,(LOG10(MAX(1,IF(X48="",AE48,MIN(AE48,X48))))-2)/4)))</f>
        <v>0</v>
      </c>
      <c r="BL48" s="15" t="n">
        <f aca="false">IF(AL48="",0,MAX(0,MIN(1,(LOG10(MAX(1,AL48))-3)/4)))</f>
        <v>0</v>
      </c>
      <c r="BM48" s="15" t="n">
        <f aca="false">IF(U48="",0,MIN(1,U48/14))</f>
        <v>0</v>
      </c>
      <c r="BN48" s="15" t="n">
        <f aca="false">IF(OR(P48="",K48="",N48="",M48="",M48=0),0,IF(AND('SCORING METHOD'!$C$5-P48&lt;=60,N48/M48&gt;=0.5),MAX(0,MIN(1,(LOG10(MAX(1,K48/MAX(1,'SCORING METHOD'!$C$5-P48)))-2)/2.5)),0))</f>
        <v>0</v>
      </c>
      <c r="BO48" s="15" t="n">
        <f aca="false">IF(S48="",0,MAX(0,MIN(1,1-(S48-3)/27)))</f>
        <v>1</v>
      </c>
      <c r="BP48" s="16" t="n">
        <f aca="false">ROUND(BK48*'SCORING METHOD'!$C$12+BL48*'SCORING METHOD'!$C$13+BM48*'SCORING METHOD'!$C$14+BN48*'SCORING METHOD'!$C$15+BO48*'SCORING METHOD'!$C$16,1)</f>
        <v>10</v>
      </c>
      <c r="BQ48" s="16" t="n">
        <f aca="false">ROUND((N(AZ48)+N(BA48)+N(BB48)+N(BC48))/20*100,1)</f>
        <v>30</v>
      </c>
      <c r="BR48" s="17" t="n">
        <f aca="false">IFERROR(INDEX('DATA SUFFICIENCY'!$J$2:$J$63,MATCH(C48,'DATA SUFFICIENCY'!$B$2:$B$63,0)),0)</f>
        <v>0.3</v>
      </c>
      <c r="BS48" s="16" t="n">
        <f aca="false">ROUND('SCORING METHOD'!$C$17*BJ48+'SCORING METHOD'!$C$18*BP48+'SCORING METHOD'!$C$19*BQ48+'SCORING METHOD'!$C$20*BR48*100,1)</f>
        <v>17.9</v>
      </c>
      <c r="BT48" s="15" t="n">
        <f aca="false">IF(F48="INCLUDED",BJ48+(1000-ROW())/100000,-1)</f>
        <v>-1</v>
      </c>
      <c r="BU48" s="15" t="n">
        <f aca="false">IF(F48="INCLUDED",BP48+(1000-ROW())/100000,-1)</f>
        <v>-1</v>
      </c>
      <c r="BV48" s="15" t="n">
        <f aca="false">IF(F48="INCLUDED",BQ48+(1000-ROW())/100000,-1)</f>
        <v>-1</v>
      </c>
      <c r="BW48" s="15" t="n">
        <f aca="false">IF(F48="INCLUDED",BS48+(1000-ROW())/100000,-1)</f>
        <v>-1</v>
      </c>
      <c r="BX48" s="2"/>
    </row>
    <row r="49" customFormat="false" ht="15" hidden="false" customHeight="false" outlineLevel="0" collapsed="false">
      <c r="A49" s="2" t="n">
        <v>48</v>
      </c>
      <c r="B49" s="2" t="s">
        <v>835</v>
      </c>
      <c r="C49" s="2" t="s">
        <v>836</v>
      </c>
      <c r="D49" s="3" t="s">
        <v>837</v>
      </c>
      <c r="E49" s="2" t="s">
        <v>792</v>
      </c>
      <c r="F49" s="2" t="s">
        <v>838</v>
      </c>
      <c r="G49" s="2" t="s">
        <v>839</v>
      </c>
      <c r="H49" s="2"/>
      <c r="I49" s="2"/>
      <c r="J49" s="2" t="s">
        <v>278</v>
      </c>
      <c r="K49" s="11" t="n">
        <v>250667</v>
      </c>
      <c r="L49" s="11"/>
      <c r="M49" s="11" t="n">
        <v>51</v>
      </c>
      <c r="N49" s="2"/>
      <c r="O49" s="2"/>
      <c r="P49" s="2"/>
      <c r="Q49" s="2"/>
      <c r="R49" s="12" t="n">
        <v>46304</v>
      </c>
      <c r="S49" s="2" t="n">
        <f aca="false">IF(R49="","",'SCORING METHOD'!$C$5-R49)</f>
        <v>0</v>
      </c>
      <c r="T49" s="2"/>
      <c r="U49" s="2"/>
      <c r="V49" s="2"/>
      <c r="W49" s="2" t="str">
        <f aca="false">IF(U49="","",U49/2)</f>
        <v/>
      </c>
      <c r="X49" s="11" t="n">
        <v>336</v>
      </c>
      <c r="Y49" s="11" t="n">
        <v>333</v>
      </c>
      <c r="Z49" s="11" t="n">
        <v>14</v>
      </c>
      <c r="AA49" s="11"/>
      <c r="AB49" s="2"/>
      <c r="AC49" s="13" t="n">
        <f aca="false">IF(OR(X49="",K49="",K49=0),"",(X49+N(Z49))/K49)</f>
        <v>0.00139627473899636</v>
      </c>
      <c r="AD49" s="2" t="str">
        <f aca="false">IF(AC49="","UNKNOWN",IF(AC49&gt;=0.05,"Very high",IF(AC49&gt;=0.02,"High",IF(AC49&gt;=0.005,"Medium","Low"))))</f>
        <v>Low</v>
      </c>
      <c r="AE49" s="11"/>
      <c r="AF49" s="11"/>
      <c r="AG49" s="11"/>
      <c r="AH49" s="2"/>
      <c r="AI49" s="2"/>
      <c r="AJ49" s="11"/>
      <c r="AK49" s="2"/>
      <c r="AL49" s="11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14" t="n">
        <v>1</v>
      </c>
      <c r="AZ49" s="14" t="n">
        <v>2</v>
      </c>
      <c r="BA49" s="14" t="n">
        <v>2</v>
      </c>
      <c r="BB49" s="14" t="n">
        <v>1</v>
      </c>
      <c r="BC49" s="14" t="n">
        <v>1</v>
      </c>
      <c r="BD49" s="15" t="n">
        <f aca="false">IF(K49="",0,MAX(0,MIN(1,(LOG10(MAX(1,K49))-3)/4)))</f>
        <v>0.599774290847714</v>
      </c>
      <c r="BE49" s="15" t="n">
        <f aca="false">IF(X49="",0,MAX(0,MIN(1,(LOG10(MAX(1,X49))-2)/4)))</f>
        <v>0.131584819347461</v>
      </c>
      <c r="BF49" s="15" t="n">
        <f aca="false">IF(AG49="",0,MAX(0,MIN(1,(LOG10(MAX(1,AG49))-3)/4)))</f>
        <v>0</v>
      </c>
      <c r="BG49" s="15" t="n">
        <f aca="false">IF(V49="",0,MIN(1,V49/20))</f>
        <v>0</v>
      </c>
      <c r="BH49" s="15" t="n">
        <f aca="false">MAX(IF(P49="",0,MIN(1,('SCORING METHOD'!$C$5-P49)/730)),IF(M49="",0,MAX(0,MIN(1,(LOG10(MAX(1,M49))-1)/2.5))))</f>
        <v>0.283028070439175</v>
      </c>
      <c r="BI49" s="15" t="n">
        <f aca="false">IF(J49="Y",0.4,0)+0.6*N(AY49)/5</f>
        <v>0.12</v>
      </c>
      <c r="BJ49" s="16" t="n">
        <f aca="false">ROUND(BD49*'SCORING METHOD'!$C$6+BE49*'SCORING METHOD'!$C$7+BF49*'SCORING METHOD'!$C$8+BG49*'SCORING METHOD'!$C$9+BH49*'SCORING METHOD'!$C$10+BI49*'SCORING METHOD'!$C$11,1)</f>
        <v>24.7</v>
      </c>
      <c r="BK49" s="15" t="n">
        <f aca="false">IF(AE49="",0,MAX(0,MIN(1,(LOG10(MAX(1,IF(X49="",AE49,MIN(AE49,X49))))-2)/4)))</f>
        <v>0</v>
      </c>
      <c r="BL49" s="15" t="n">
        <f aca="false">IF(AL49="",0,MAX(0,MIN(1,(LOG10(MAX(1,AL49))-3)/4)))</f>
        <v>0</v>
      </c>
      <c r="BM49" s="15" t="n">
        <f aca="false">IF(U49="",0,MIN(1,U49/14))</f>
        <v>0</v>
      </c>
      <c r="BN49" s="15" t="n">
        <f aca="false">IF(OR(P49="",K49="",N49="",M49="",M49=0),0,IF(AND('SCORING METHOD'!$C$5-P49&lt;=60,N49/M49&gt;=0.5),MAX(0,MIN(1,(LOG10(MAX(1,K49/MAX(1,'SCORING METHOD'!$C$5-P49)))-2)/2.5)),0))</f>
        <v>0</v>
      </c>
      <c r="BO49" s="15" t="n">
        <f aca="false">IF(S49="",0,MAX(0,MIN(1,1-(S49-3)/27)))</f>
        <v>1</v>
      </c>
      <c r="BP49" s="16" t="n">
        <f aca="false">ROUND(BK49*'SCORING METHOD'!$C$12+BL49*'SCORING METHOD'!$C$13+BM49*'SCORING METHOD'!$C$14+BN49*'SCORING METHOD'!$C$15+BO49*'SCORING METHOD'!$C$16,1)</f>
        <v>10</v>
      </c>
      <c r="BQ49" s="16" t="n">
        <f aca="false">ROUND((N(AZ49)+N(BA49)+N(BB49)+N(BC49))/20*100,1)</f>
        <v>30</v>
      </c>
      <c r="BR49" s="17" t="n">
        <f aca="false">IFERROR(INDEX('DATA SUFFICIENCY'!$J$2:$J$63,MATCH(C49,'DATA SUFFICIENCY'!$B$2:$B$63,0)),0)</f>
        <v>0.3</v>
      </c>
      <c r="BS49" s="16" t="n">
        <f aca="false">ROUND('SCORING METHOD'!$C$17*BJ49+'SCORING METHOD'!$C$18*BP49+'SCORING METHOD'!$C$19*BQ49+'SCORING METHOD'!$C$20*BR49*100,1)</f>
        <v>22.1</v>
      </c>
      <c r="BT49" s="15" t="n">
        <f aca="false">IF(F49="INCLUDED",BJ49+(1000-ROW())/100000,-1)</f>
        <v>-1</v>
      </c>
      <c r="BU49" s="15" t="n">
        <f aca="false">IF(F49="INCLUDED",BP49+(1000-ROW())/100000,-1)</f>
        <v>-1</v>
      </c>
      <c r="BV49" s="15" t="n">
        <f aca="false">IF(F49="INCLUDED",BQ49+(1000-ROW())/100000,-1)</f>
        <v>-1</v>
      </c>
      <c r="BW49" s="15" t="n">
        <f aca="false">IF(F49="INCLUDED",BS49+(1000-ROW())/100000,-1)</f>
        <v>-1</v>
      </c>
      <c r="BX49" s="2"/>
    </row>
    <row r="50" customFormat="false" ht="15" hidden="false" customHeight="false" outlineLevel="0" collapsed="false">
      <c r="A50" s="2" t="n">
        <v>49</v>
      </c>
      <c r="B50" s="2" t="s">
        <v>840</v>
      </c>
      <c r="C50" s="2" t="s">
        <v>841</v>
      </c>
      <c r="D50" s="3" t="s">
        <v>842</v>
      </c>
      <c r="E50" s="2" t="s">
        <v>792</v>
      </c>
      <c r="F50" s="2" t="s">
        <v>838</v>
      </c>
      <c r="G50" s="2" t="s">
        <v>843</v>
      </c>
      <c r="H50" s="2"/>
      <c r="I50" s="2"/>
      <c r="J50" s="2" t="s">
        <v>278</v>
      </c>
      <c r="K50" s="11" t="n">
        <v>268</v>
      </c>
      <c r="L50" s="11"/>
      <c r="M50" s="11" t="n">
        <v>9</v>
      </c>
      <c r="N50" s="2"/>
      <c r="O50" s="2"/>
      <c r="P50" s="2"/>
      <c r="Q50" s="2"/>
      <c r="R50" s="12" t="n">
        <v>46294</v>
      </c>
      <c r="S50" s="2" t="n">
        <f aca="false">IF(R50="","",'SCORING METHOD'!$C$5-R50)</f>
        <v>10</v>
      </c>
      <c r="T50" s="2"/>
      <c r="U50" s="2"/>
      <c r="V50" s="2"/>
      <c r="W50" s="2" t="str">
        <f aca="false">IF(U50="","",U50/2)</f>
        <v/>
      </c>
      <c r="X50" s="11" t="n">
        <v>878</v>
      </c>
      <c r="Y50" s="11"/>
      <c r="Z50" s="11"/>
      <c r="AA50" s="11"/>
      <c r="AB50" s="2"/>
      <c r="AC50" s="13" t="n">
        <f aca="false">IF(OR(X50="",K50="",K50=0),"",(X50+N(Z50))/K50)</f>
        <v>3.27611940298507</v>
      </c>
      <c r="AD50" s="2" t="str">
        <f aca="false">IF(AC50="","UNKNOWN",IF(AC50&gt;=0.05,"Very high",IF(AC50&gt;=0.02,"High",IF(AC50&gt;=0.005,"Medium","Low"))))</f>
        <v>Very high</v>
      </c>
      <c r="AE50" s="11"/>
      <c r="AF50" s="11"/>
      <c r="AG50" s="11"/>
      <c r="AH50" s="2"/>
      <c r="AI50" s="2"/>
      <c r="AJ50" s="11"/>
      <c r="AK50" s="2"/>
      <c r="AL50" s="11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14" t="n">
        <v>1</v>
      </c>
      <c r="AZ50" s="14" t="n">
        <v>2</v>
      </c>
      <c r="BA50" s="14" t="n">
        <v>2</v>
      </c>
      <c r="BB50" s="14" t="n">
        <v>1</v>
      </c>
      <c r="BC50" s="14" t="n">
        <v>1</v>
      </c>
      <c r="BD50" s="15" t="n">
        <f aca="false">IF(K50="",0,MAX(0,MIN(1,(LOG10(MAX(1,K50))-3)/4)))</f>
        <v>0</v>
      </c>
      <c r="BE50" s="15" t="n">
        <f aca="false">IF(X50="",0,MAX(0,MIN(1,(LOG10(MAX(1,X50))-2)/4)))</f>
        <v>0.235873628976526</v>
      </c>
      <c r="BF50" s="15" t="n">
        <f aca="false">IF(AG50="",0,MAX(0,MIN(1,(LOG10(MAX(1,AG50))-3)/4)))</f>
        <v>0</v>
      </c>
      <c r="BG50" s="15" t="n">
        <f aca="false">IF(V50="",0,MIN(1,V50/20))</f>
        <v>0</v>
      </c>
      <c r="BH50" s="15" t="n">
        <f aca="false">MAX(IF(P50="",0,MIN(1,('SCORING METHOD'!$C$5-P50)/730)),IF(M50="",0,MAX(0,MIN(1,(LOG10(MAX(1,M50))-1)/2.5))))</f>
        <v>0</v>
      </c>
      <c r="BI50" s="15" t="n">
        <f aca="false">IF(J50="Y",0.4,0)+0.6*N(AY50)/5</f>
        <v>0.12</v>
      </c>
      <c r="BJ50" s="16" t="n">
        <f aca="false">ROUND(BD50*'SCORING METHOD'!$C$6+BE50*'SCORING METHOD'!$C$7+BF50*'SCORING METHOD'!$C$8+BG50*'SCORING METHOD'!$C$9+BH50*'SCORING METHOD'!$C$10+BI50*'SCORING METHOD'!$C$11,1)</f>
        <v>5.9</v>
      </c>
      <c r="BK50" s="15" t="n">
        <f aca="false">IF(AE50="",0,MAX(0,MIN(1,(LOG10(MAX(1,IF(X50="",AE50,MIN(AE50,X50))))-2)/4)))</f>
        <v>0</v>
      </c>
      <c r="BL50" s="15" t="n">
        <f aca="false">IF(AL50="",0,MAX(0,MIN(1,(LOG10(MAX(1,AL50))-3)/4)))</f>
        <v>0</v>
      </c>
      <c r="BM50" s="15" t="n">
        <f aca="false">IF(U50="",0,MIN(1,U50/14))</f>
        <v>0</v>
      </c>
      <c r="BN50" s="15" t="n">
        <f aca="false">IF(OR(P50="",K50="",N50="",M50="",M50=0),0,IF(AND('SCORING METHOD'!$C$5-P50&lt;=60,N50/M50&gt;=0.5),MAX(0,MIN(1,(LOG10(MAX(1,K50/MAX(1,'SCORING METHOD'!$C$5-P50)))-2)/2.5)),0))</f>
        <v>0</v>
      </c>
      <c r="BO50" s="15" t="n">
        <f aca="false">IF(S50="",0,MAX(0,MIN(1,1-(S50-3)/27)))</f>
        <v>0.740740740740741</v>
      </c>
      <c r="BP50" s="16" t="n">
        <f aca="false">ROUND(BK50*'SCORING METHOD'!$C$12+BL50*'SCORING METHOD'!$C$13+BM50*'SCORING METHOD'!$C$14+BN50*'SCORING METHOD'!$C$15+BO50*'SCORING METHOD'!$C$16,1)</f>
        <v>7.4</v>
      </c>
      <c r="BQ50" s="16" t="n">
        <f aca="false">ROUND((N(AZ50)+N(BA50)+N(BB50)+N(BC50))/20*100,1)</f>
        <v>30</v>
      </c>
      <c r="BR50" s="17" t="n">
        <f aca="false">IFERROR(INDEX('DATA SUFFICIENCY'!$J$2:$J$63,MATCH(C50,'DATA SUFFICIENCY'!$B$2:$B$63,0)),0)</f>
        <v>0.3</v>
      </c>
      <c r="BS50" s="16" t="n">
        <f aca="false">ROUND('SCORING METHOD'!$C$17*BJ50+'SCORING METHOD'!$C$18*BP50+'SCORING METHOD'!$C$19*BQ50+'SCORING METHOD'!$C$20*BR50*100,1)</f>
        <v>14.8</v>
      </c>
      <c r="BT50" s="15" t="n">
        <f aca="false">IF(F50="INCLUDED",BJ50+(1000-ROW())/100000,-1)</f>
        <v>-1</v>
      </c>
      <c r="BU50" s="15" t="n">
        <f aca="false">IF(F50="INCLUDED",BP50+(1000-ROW())/100000,-1)</f>
        <v>-1</v>
      </c>
      <c r="BV50" s="15" t="n">
        <f aca="false">IF(F50="INCLUDED",BQ50+(1000-ROW())/100000,-1)</f>
        <v>-1</v>
      </c>
      <c r="BW50" s="15" t="n">
        <f aca="false">IF(F50="INCLUDED",BS50+(1000-ROW())/100000,-1)</f>
        <v>-1</v>
      </c>
      <c r="BX50" s="2"/>
    </row>
    <row r="51" customFormat="false" ht="15" hidden="false" customHeight="false" outlineLevel="0" collapsed="false">
      <c r="A51" s="2" t="n">
        <v>50</v>
      </c>
      <c r="B51" s="2" t="s">
        <v>844</v>
      </c>
      <c r="C51" s="2" t="s">
        <v>845</v>
      </c>
      <c r="D51" s="3" t="s">
        <v>846</v>
      </c>
      <c r="E51" s="2" t="s">
        <v>792</v>
      </c>
      <c r="F51" s="2" t="s">
        <v>838</v>
      </c>
      <c r="G51" s="2" t="s">
        <v>847</v>
      </c>
      <c r="H51" s="2"/>
      <c r="I51" s="2"/>
      <c r="J51" s="2" t="s">
        <v>278</v>
      </c>
      <c r="K51" s="11" t="n">
        <v>11211</v>
      </c>
      <c r="L51" s="11"/>
      <c r="M51" s="11" t="n">
        <v>36</v>
      </c>
      <c r="N51" s="2"/>
      <c r="O51" s="2"/>
      <c r="P51" s="2"/>
      <c r="Q51" s="2"/>
      <c r="R51" s="12" t="n">
        <v>46304</v>
      </c>
      <c r="S51" s="2" t="n">
        <f aca="false">IF(R51="","",'SCORING METHOD'!$C$5-R51)</f>
        <v>0</v>
      </c>
      <c r="T51" s="2"/>
      <c r="U51" s="2"/>
      <c r="V51" s="2"/>
      <c r="W51" s="2" t="str">
        <f aca="false">IF(U51="","",U51/2)</f>
        <v/>
      </c>
      <c r="X51" s="11" t="n">
        <v>755</v>
      </c>
      <c r="Y51" s="11"/>
      <c r="Z51" s="11"/>
      <c r="AA51" s="11"/>
      <c r="AB51" s="2"/>
      <c r="AC51" s="13" t="n">
        <f aca="false">IF(OR(X51="",K51="",K51=0),"",(X51+N(Z51))/K51)</f>
        <v>0.0673445722950674</v>
      </c>
      <c r="AD51" s="2" t="str">
        <f aca="false">IF(AC51="","UNKNOWN",IF(AC51&gt;=0.05,"Very high",IF(AC51&gt;=0.02,"High",IF(AC51&gt;=0.005,"Medium","Low"))))</f>
        <v>Very high</v>
      </c>
      <c r="AE51" s="11"/>
      <c r="AF51" s="11"/>
      <c r="AG51" s="11" t="n">
        <v>55837</v>
      </c>
      <c r="AH51" s="2"/>
      <c r="AI51" s="2"/>
      <c r="AJ51" s="11"/>
      <c r="AK51" s="2"/>
      <c r="AL51" s="11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14" t="n">
        <v>1</v>
      </c>
      <c r="AZ51" s="14" t="n">
        <v>2</v>
      </c>
      <c r="BA51" s="14" t="n">
        <v>2</v>
      </c>
      <c r="BB51" s="14" t="n">
        <v>1</v>
      </c>
      <c r="BC51" s="14" t="n">
        <v>1</v>
      </c>
      <c r="BD51" s="15" t="n">
        <f aca="false">IF(K51="",0,MAX(0,MIN(1,(LOG10(MAX(1,K51))-3)/4)))</f>
        <v>0.262411088142325</v>
      </c>
      <c r="BE51" s="15" t="n">
        <f aca="false">IF(X51="",0,MAX(0,MIN(1,(LOG10(MAX(1,X51))-2)/4)))</f>
        <v>0.219486737907297</v>
      </c>
      <c r="BF51" s="15" t="n">
        <f aca="false">IF(AG51="",0,MAX(0,MIN(1,(LOG10(MAX(1,AG51))-3)/4)))</f>
        <v>0.436730519137096</v>
      </c>
      <c r="BG51" s="15" t="n">
        <f aca="false">IF(V51="",0,MIN(1,V51/20))</f>
        <v>0</v>
      </c>
      <c r="BH51" s="15" t="n">
        <f aca="false">MAX(IF(P51="",0,MIN(1,('SCORING METHOD'!$C$5-P51)/730)),IF(M51="",0,MAX(0,MIN(1,(LOG10(MAX(1,M51))-1)/2.5))))</f>
        <v>0.222521000306915</v>
      </c>
      <c r="BI51" s="15" t="n">
        <f aca="false">IF(J51="Y",0.4,0)+0.6*N(AY51)/5</f>
        <v>0.12</v>
      </c>
      <c r="BJ51" s="16" t="n">
        <f aca="false">ROUND(BD51*'SCORING METHOD'!$C$6+BE51*'SCORING METHOD'!$C$7+BF51*'SCORING METHOD'!$C$8+BG51*'SCORING METHOD'!$C$9+BH51*'SCORING METHOD'!$C$10+BI51*'SCORING METHOD'!$C$11,1)</f>
        <v>24.4</v>
      </c>
      <c r="BK51" s="15" t="n">
        <f aca="false">IF(AE51="",0,MAX(0,MIN(1,(LOG10(MAX(1,IF(X51="",AE51,MIN(AE51,X51))))-2)/4)))</f>
        <v>0</v>
      </c>
      <c r="BL51" s="15" t="n">
        <f aca="false">IF(AL51="",0,MAX(0,MIN(1,(LOG10(MAX(1,AL51))-3)/4)))</f>
        <v>0</v>
      </c>
      <c r="BM51" s="15" t="n">
        <f aca="false">IF(U51="",0,MIN(1,U51/14))</f>
        <v>0</v>
      </c>
      <c r="BN51" s="15" t="n">
        <f aca="false">IF(OR(P51="",K51="",N51="",M51="",M51=0),0,IF(AND('SCORING METHOD'!$C$5-P51&lt;=60,N51/M51&gt;=0.5),MAX(0,MIN(1,(LOG10(MAX(1,K51/MAX(1,'SCORING METHOD'!$C$5-P51)))-2)/2.5)),0))</f>
        <v>0</v>
      </c>
      <c r="BO51" s="15" t="n">
        <f aca="false">IF(S51="",0,MAX(0,MIN(1,1-(S51-3)/27)))</f>
        <v>1</v>
      </c>
      <c r="BP51" s="16" t="n">
        <f aca="false">ROUND(BK51*'SCORING METHOD'!$C$12+BL51*'SCORING METHOD'!$C$13+BM51*'SCORING METHOD'!$C$14+BN51*'SCORING METHOD'!$C$15+BO51*'SCORING METHOD'!$C$16,1)</f>
        <v>10</v>
      </c>
      <c r="BQ51" s="16" t="n">
        <f aca="false">ROUND((N(AZ51)+N(BA51)+N(BB51)+N(BC51))/20*100,1)</f>
        <v>30</v>
      </c>
      <c r="BR51" s="17" t="n">
        <f aca="false">IFERROR(INDEX('DATA SUFFICIENCY'!$J$2:$J$63,MATCH(C51,'DATA SUFFICIENCY'!$B$2:$B$63,0)),0)</f>
        <v>0.3</v>
      </c>
      <c r="BS51" s="16" t="n">
        <f aca="false">ROUND('SCORING METHOD'!$C$17*BJ51+'SCORING METHOD'!$C$18*BP51+'SCORING METHOD'!$C$19*BQ51+'SCORING METHOD'!$C$20*BR51*100,1)</f>
        <v>22</v>
      </c>
      <c r="BT51" s="15" t="n">
        <f aca="false">IF(F51="INCLUDED",BJ51+(1000-ROW())/100000,-1)</f>
        <v>-1</v>
      </c>
      <c r="BU51" s="15" t="n">
        <f aca="false">IF(F51="INCLUDED",BP51+(1000-ROW())/100000,-1)</f>
        <v>-1</v>
      </c>
      <c r="BV51" s="15" t="n">
        <f aca="false">IF(F51="INCLUDED",BQ51+(1000-ROW())/100000,-1)</f>
        <v>-1</v>
      </c>
      <c r="BW51" s="15" t="n">
        <f aca="false">IF(F51="INCLUDED",BS51+(1000-ROW())/100000,-1)</f>
        <v>-1</v>
      </c>
      <c r="BX51" s="2"/>
    </row>
    <row r="52" customFormat="false" ht="15" hidden="false" customHeight="false" outlineLevel="0" collapsed="false">
      <c r="A52" s="2" t="n">
        <v>51</v>
      </c>
      <c r="B52" s="2" t="s">
        <v>848</v>
      </c>
      <c r="C52" s="2" t="s">
        <v>849</v>
      </c>
      <c r="D52" s="3" t="s">
        <v>850</v>
      </c>
      <c r="E52" s="2" t="s">
        <v>792</v>
      </c>
      <c r="F52" s="2" t="s">
        <v>838</v>
      </c>
      <c r="G52" s="2" t="s">
        <v>851</v>
      </c>
      <c r="H52" s="2"/>
      <c r="I52" s="2"/>
      <c r="J52" s="2" t="s">
        <v>352</v>
      </c>
      <c r="K52" s="11" t="n">
        <v>454596</v>
      </c>
      <c r="L52" s="11"/>
      <c r="M52" s="11" t="n">
        <v>2249</v>
      </c>
      <c r="N52" s="2"/>
      <c r="O52" s="2"/>
      <c r="P52" s="2"/>
      <c r="Q52" s="2"/>
      <c r="R52" s="12" t="n">
        <v>46157</v>
      </c>
      <c r="S52" s="2" t="n">
        <f aca="false">IF(R52="","",'SCORING METHOD'!$C$5-R52)</f>
        <v>147</v>
      </c>
      <c r="T52" s="2"/>
      <c r="U52" s="2"/>
      <c r="V52" s="2"/>
      <c r="W52" s="2" t="str">
        <f aca="false">IF(U52="","",U52/2)</f>
        <v/>
      </c>
      <c r="X52" s="11" t="n">
        <v>10565</v>
      </c>
      <c r="Y52" s="11"/>
      <c r="Z52" s="11"/>
      <c r="AA52" s="11"/>
      <c r="AB52" s="2"/>
      <c r="AC52" s="13" t="n">
        <f aca="false">IF(OR(X52="",K52="",K52=0),"",(X52+N(Z52))/K52)</f>
        <v>0.023240415665778</v>
      </c>
      <c r="AD52" s="2" t="str">
        <f aca="false">IF(AC52="","UNKNOWN",IF(AC52&gt;=0.05,"Very high",IF(AC52&gt;=0.02,"High",IF(AC52&gt;=0.005,"Medium","Low"))))</f>
        <v>High</v>
      </c>
      <c r="AE52" s="11"/>
      <c r="AF52" s="11"/>
      <c r="AG52" s="11" t="n">
        <v>14637</v>
      </c>
      <c r="AH52" s="2"/>
      <c r="AI52" s="2"/>
      <c r="AJ52" s="11"/>
      <c r="AK52" s="2"/>
      <c r="AL52" s="11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14" t="n">
        <v>1</v>
      </c>
      <c r="AZ52" s="14" t="n">
        <v>2</v>
      </c>
      <c r="BA52" s="14" t="n">
        <v>2</v>
      </c>
      <c r="BB52" s="14" t="n">
        <v>1</v>
      </c>
      <c r="BC52" s="14" t="n">
        <v>1</v>
      </c>
      <c r="BD52" s="15" t="n">
        <f aca="false">IF(K52="",0,MAX(0,MIN(1,(LOG10(MAX(1,K52))-3)/4)))</f>
        <v>0.664406402509815</v>
      </c>
      <c r="BE52" s="15" t="n">
        <f aca="false">IF(X52="",0,MAX(0,MIN(1,(LOG10(MAX(1,X52))-2)/4)))</f>
        <v>0.505967375347083</v>
      </c>
      <c r="BF52" s="15" t="n">
        <f aca="false">IF(AG52="",0,MAX(0,MIN(1,(LOG10(MAX(1,AG52))-3)/4)))</f>
        <v>0.291363018207982</v>
      </c>
      <c r="BG52" s="15" t="n">
        <f aca="false">IF(V52="",0,MIN(1,V52/20))</f>
        <v>0</v>
      </c>
      <c r="BH52" s="15" t="n">
        <f aca="false">MAX(IF(P52="",0,MIN(1,('SCORING METHOD'!$C$5-P52)/730)),IF(M52="",0,MAX(0,MIN(1,(LOG10(MAX(1,M52))-1)/2.5))))</f>
        <v>0.940795782174253</v>
      </c>
      <c r="BI52" s="15" t="n">
        <f aca="false">IF(J52="Y",0.4,0)+0.6*N(AY52)/5</f>
        <v>0.52</v>
      </c>
      <c r="BJ52" s="16" t="n">
        <f aca="false">ROUND(BD52*'SCORING METHOD'!$C$6+BE52*'SCORING METHOD'!$C$7+BF52*'SCORING METHOD'!$C$8+BG52*'SCORING METHOD'!$C$9+BH52*'SCORING METHOD'!$C$10+BI52*'SCORING METHOD'!$C$11,1)</f>
        <v>50.5</v>
      </c>
      <c r="BK52" s="15" t="n">
        <f aca="false">IF(AE52="",0,MAX(0,MIN(1,(LOG10(MAX(1,IF(X52="",AE52,MIN(AE52,X52))))-2)/4)))</f>
        <v>0</v>
      </c>
      <c r="BL52" s="15" t="n">
        <f aca="false">IF(AL52="",0,MAX(0,MIN(1,(LOG10(MAX(1,AL52))-3)/4)))</f>
        <v>0</v>
      </c>
      <c r="BM52" s="15" t="n">
        <f aca="false">IF(U52="",0,MIN(1,U52/14))</f>
        <v>0</v>
      </c>
      <c r="BN52" s="15" t="n">
        <f aca="false">IF(OR(P52="",K52="",N52="",M52="",M52=0),0,IF(AND('SCORING METHOD'!$C$5-P52&lt;=60,N52/M52&gt;=0.5),MAX(0,MIN(1,(LOG10(MAX(1,K52/MAX(1,'SCORING METHOD'!$C$5-P52)))-2)/2.5)),0))</f>
        <v>0</v>
      </c>
      <c r="BO52" s="15" t="n">
        <f aca="false">IF(S52="",0,MAX(0,MIN(1,1-(S52-3)/27)))</f>
        <v>0</v>
      </c>
      <c r="BP52" s="16" t="n">
        <f aca="false">ROUND(BK52*'SCORING METHOD'!$C$12+BL52*'SCORING METHOD'!$C$13+BM52*'SCORING METHOD'!$C$14+BN52*'SCORING METHOD'!$C$15+BO52*'SCORING METHOD'!$C$16,1)</f>
        <v>0</v>
      </c>
      <c r="BQ52" s="16" t="n">
        <f aca="false">ROUND((N(AZ52)+N(BA52)+N(BB52)+N(BC52))/20*100,1)</f>
        <v>30</v>
      </c>
      <c r="BR52" s="17" t="n">
        <f aca="false">IFERROR(INDEX('DATA SUFFICIENCY'!$J$2:$J$63,MATCH(C52,'DATA SUFFICIENCY'!$B$2:$B$63,0)),0)</f>
        <v>0.3</v>
      </c>
      <c r="BS52" s="16" t="n">
        <f aca="false">ROUND('SCORING METHOD'!$C$17*BJ52+'SCORING METHOD'!$C$18*BP52+'SCORING METHOD'!$C$19*BQ52+'SCORING METHOD'!$C$20*BR52*100,1)</f>
        <v>28.2</v>
      </c>
      <c r="BT52" s="15" t="n">
        <f aca="false">IF(F52="INCLUDED",BJ52+(1000-ROW())/100000,-1)</f>
        <v>-1</v>
      </c>
      <c r="BU52" s="15" t="n">
        <f aca="false">IF(F52="INCLUDED",BP52+(1000-ROW())/100000,-1)</f>
        <v>-1</v>
      </c>
      <c r="BV52" s="15" t="n">
        <f aca="false">IF(F52="INCLUDED",BQ52+(1000-ROW())/100000,-1)</f>
        <v>-1</v>
      </c>
      <c r="BW52" s="15" t="n">
        <f aca="false">IF(F52="INCLUDED",BS52+(1000-ROW())/100000,-1)</f>
        <v>-1</v>
      </c>
      <c r="BX52" s="2"/>
    </row>
    <row r="53" customFormat="false" ht="15" hidden="false" customHeight="false" outlineLevel="0" collapsed="false">
      <c r="A53" s="2" t="n">
        <v>52</v>
      </c>
      <c r="B53" s="2" t="s">
        <v>852</v>
      </c>
      <c r="C53" s="2" t="s">
        <v>853</v>
      </c>
      <c r="D53" s="3" t="s">
        <v>854</v>
      </c>
      <c r="E53" s="2" t="s">
        <v>792</v>
      </c>
      <c r="F53" s="2" t="s">
        <v>838</v>
      </c>
      <c r="G53" s="2" t="s">
        <v>855</v>
      </c>
      <c r="H53" s="2"/>
      <c r="I53" s="2"/>
      <c r="J53" s="2" t="s">
        <v>352</v>
      </c>
      <c r="K53" s="11" t="n">
        <v>159731</v>
      </c>
      <c r="L53" s="11"/>
      <c r="M53" s="11" t="n">
        <v>455</v>
      </c>
      <c r="N53" s="2"/>
      <c r="O53" s="2"/>
      <c r="P53" s="2"/>
      <c r="Q53" s="2"/>
      <c r="R53" s="12" t="n">
        <v>46113</v>
      </c>
      <c r="S53" s="2" t="n">
        <f aca="false">IF(R53="","",'SCORING METHOD'!$C$5-R53)</f>
        <v>191</v>
      </c>
      <c r="T53" s="2"/>
      <c r="U53" s="2"/>
      <c r="V53" s="2"/>
      <c r="W53" s="2" t="str">
        <f aca="false">IF(U53="","",U53/2)</f>
        <v/>
      </c>
      <c r="X53" s="11" t="n">
        <v>283</v>
      </c>
      <c r="Y53" s="11"/>
      <c r="Z53" s="11"/>
      <c r="AA53" s="11"/>
      <c r="AB53" s="2"/>
      <c r="AC53" s="13" t="n">
        <f aca="false">IF(OR(X53="",K53="",K53=0),"",(X53+N(Z53))/K53)</f>
        <v>0.00177172871890867</v>
      </c>
      <c r="AD53" s="2" t="str">
        <f aca="false">IF(AC53="","UNKNOWN",IF(AC53&gt;=0.05,"Very high",IF(AC53&gt;=0.02,"High",IF(AC53&gt;=0.005,"Medium","Low"))))</f>
        <v>Low</v>
      </c>
      <c r="AE53" s="11"/>
      <c r="AF53" s="11"/>
      <c r="AG53" s="11" t="n">
        <v>11365</v>
      </c>
      <c r="AH53" s="2"/>
      <c r="AI53" s="2"/>
      <c r="AJ53" s="11"/>
      <c r="AK53" s="2"/>
      <c r="AL53" s="11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14" t="n">
        <v>1</v>
      </c>
      <c r="AZ53" s="14" t="n">
        <v>2</v>
      </c>
      <c r="BA53" s="14" t="n">
        <v>2</v>
      </c>
      <c r="BB53" s="14" t="n">
        <v>1</v>
      </c>
      <c r="BC53" s="14" t="n">
        <v>1</v>
      </c>
      <c r="BD53" s="15" t="n">
        <f aca="false">IF(K53="",0,MAX(0,MIN(1,(LOG10(MAX(1,K53))-3)/4)))</f>
        <v>0.550847302645168</v>
      </c>
      <c r="BE53" s="15" t="n">
        <f aca="false">IF(X53="",0,MAX(0,MIN(1,(LOG10(MAX(1,X53))-2)/4)))</f>
        <v>0.112946608881073</v>
      </c>
      <c r="BF53" s="15" t="n">
        <f aca="false">IF(AG53="",0,MAX(0,MIN(1,(LOG10(MAX(1,AG53))-3)/4)))</f>
        <v>0.263892360015247</v>
      </c>
      <c r="BG53" s="15" t="n">
        <f aca="false">IF(V53="",0,MIN(1,V53/20))</f>
        <v>0</v>
      </c>
      <c r="BH53" s="15" t="n">
        <f aca="false">MAX(IF(P53="",0,MIN(1,('SCORING METHOD'!$C$5-P53)/730)),IF(M53="",0,MAX(0,MIN(1,(LOG10(MAX(1,M53))-1)/2.5))))</f>
        <v>0.663204558662845</v>
      </c>
      <c r="BI53" s="15" t="n">
        <f aca="false">IF(J53="Y",0.4,0)+0.6*N(AY53)/5</f>
        <v>0.52</v>
      </c>
      <c r="BJ53" s="16" t="n">
        <f aca="false">ROUND(BD53*'SCORING METHOD'!$C$6+BE53*'SCORING METHOD'!$C$7+BF53*'SCORING METHOD'!$C$8+BG53*'SCORING METHOD'!$C$9+BH53*'SCORING METHOD'!$C$10+BI53*'SCORING METHOD'!$C$11,1)</f>
        <v>35.9</v>
      </c>
      <c r="BK53" s="15" t="n">
        <f aca="false">IF(AE53="",0,MAX(0,MIN(1,(LOG10(MAX(1,IF(X53="",AE53,MIN(AE53,X53))))-2)/4)))</f>
        <v>0</v>
      </c>
      <c r="BL53" s="15" t="n">
        <f aca="false">IF(AL53="",0,MAX(0,MIN(1,(LOG10(MAX(1,AL53))-3)/4)))</f>
        <v>0</v>
      </c>
      <c r="BM53" s="15" t="n">
        <f aca="false">IF(U53="",0,MIN(1,U53/14))</f>
        <v>0</v>
      </c>
      <c r="BN53" s="15" t="n">
        <f aca="false">IF(OR(P53="",K53="",N53="",M53="",M53=0),0,IF(AND('SCORING METHOD'!$C$5-P53&lt;=60,N53/M53&gt;=0.5),MAX(0,MIN(1,(LOG10(MAX(1,K53/MAX(1,'SCORING METHOD'!$C$5-P53)))-2)/2.5)),0))</f>
        <v>0</v>
      </c>
      <c r="BO53" s="15" t="n">
        <f aca="false">IF(S53="",0,MAX(0,MIN(1,1-(S53-3)/27)))</f>
        <v>0</v>
      </c>
      <c r="BP53" s="16" t="n">
        <f aca="false">ROUND(BK53*'SCORING METHOD'!$C$12+BL53*'SCORING METHOD'!$C$13+BM53*'SCORING METHOD'!$C$14+BN53*'SCORING METHOD'!$C$15+BO53*'SCORING METHOD'!$C$16,1)</f>
        <v>0</v>
      </c>
      <c r="BQ53" s="16" t="n">
        <f aca="false">ROUND((N(AZ53)+N(BA53)+N(BB53)+N(BC53))/20*100,1)</f>
        <v>30</v>
      </c>
      <c r="BR53" s="17" t="n">
        <f aca="false">IFERROR(INDEX('DATA SUFFICIENCY'!$J$2:$J$63,MATCH(C53,'DATA SUFFICIENCY'!$B$2:$B$63,0)),0)</f>
        <v>0.3</v>
      </c>
      <c r="BS53" s="16" t="n">
        <f aca="false">ROUND('SCORING METHOD'!$C$17*BJ53+'SCORING METHOD'!$C$18*BP53+'SCORING METHOD'!$C$19*BQ53+'SCORING METHOD'!$C$20*BR53*100,1)</f>
        <v>23.1</v>
      </c>
      <c r="BT53" s="15" t="n">
        <f aca="false">IF(F53="INCLUDED",BJ53+(1000-ROW())/100000,-1)</f>
        <v>-1</v>
      </c>
      <c r="BU53" s="15" t="n">
        <f aca="false">IF(F53="INCLUDED",BP53+(1000-ROW())/100000,-1)</f>
        <v>-1</v>
      </c>
      <c r="BV53" s="15" t="n">
        <f aca="false">IF(F53="INCLUDED",BQ53+(1000-ROW())/100000,-1)</f>
        <v>-1</v>
      </c>
      <c r="BW53" s="15" t="n">
        <f aca="false">IF(F53="INCLUDED",BS53+(1000-ROW())/100000,-1)</f>
        <v>-1</v>
      </c>
      <c r="BX53" s="2"/>
    </row>
    <row r="54" customFormat="false" ht="15" hidden="false" customHeight="false" outlineLevel="0" collapsed="false">
      <c r="A54" s="2" t="n">
        <v>53</v>
      </c>
      <c r="B54" s="2" t="s">
        <v>856</v>
      </c>
      <c r="C54" s="2" t="s">
        <v>857</v>
      </c>
      <c r="D54" s="3" t="s">
        <v>858</v>
      </c>
      <c r="E54" s="2" t="s">
        <v>792</v>
      </c>
      <c r="F54" s="2" t="s">
        <v>838</v>
      </c>
      <c r="G54" s="2" t="s">
        <v>859</v>
      </c>
      <c r="H54" s="2"/>
      <c r="I54" s="2"/>
      <c r="J54" s="2" t="s">
        <v>352</v>
      </c>
      <c r="K54" s="11" t="n">
        <v>109283</v>
      </c>
      <c r="L54" s="11"/>
      <c r="M54" s="11" t="n">
        <v>162</v>
      </c>
      <c r="N54" s="2"/>
      <c r="O54" s="2"/>
      <c r="P54" s="2"/>
      <c r="Q54" s="2"/>
      <c r="R54" s="12" t="n">
        <v>44092</v>
      </c>
      <c r="S54" s="2" t="n">
        <f aca="false">IF(R54="","",'SCORING METHOD'!$C$5-R54)</f>
        <v>2212</v>
      </c>
      <c r="T54" s="2"/>
      <c r="U54" s="2"/>
      <c r="V54" s="2"/>
      <c r="W54" s="2" t="str">
        <f aca="false">IF(U54="","",U54/2)</f>
        <v/>
      </c>
      <c r="X54" s="11" t="n">
        <v>8035</v>
      </c>
      <c r="Y54" s="11"/>
      <c r="Z54" s="11"/>
      <c r="AA54" s="11"/>
      <c r="AB54" s="2"/>
      <c r="AC54" s="13" t="n">
        <f aca="false">IF(OR(X54="",K54="",K54=0),"",(X54+N(Z54))/K54)</f>
        <v>0.0735247019207013</v>
      </c>
      <c r="AD54" s="2" t="str">
        <f aca="false">IF(AC54="","UNKNOWN",IF(AC54&gt;=0.05,"Very high",IF(AC54&gt;=0.02,"High",IF(AC54&gt;=0.005,"Medium","Low"))))</f>
        <v>Very high</v>
      </c>
      <c r="AE54" s="11"/>
      <c r="AF54" s="11"/>
      <c r="AG54" s="11" t="n">
        <v>27538</v>
      </c>
      <c r="AH54" s="2"/>
      <c r="AI54" s="2"/>
      <c r="AJ54" s="11"/>
      <c r="AK54" s="2"/>
      <c r="AL54" s="11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14" t="n">
        <v>1</v>
      </c>
      <c r="AZ54" s="14" t="n">
        <v>2</v>
      </c>
      <c r="BA54" s="14" t="n">
        <v>2</v>
      </c>
      <c r="BB54" s="14" t="n">
        <v>1</v>
      </c>
      <c r="BC54" s="14" t="n">
        <v>1</v>
      </c>
      <c r="BD54" s="15" t="n">
        <f aca="false">IF(K54="",0,MAX(0,MIN(1,(LOG10(MAX(1,K54))-3)/4)))</f>
        <v>0.509638152151628</v>
      </c>
      <c r="BE54" s="15" t="n">
        <f aca="false">IF(X54="",0,MAX(0,MIN(1,(LOG10(MAX(1,X54))-2)/4)))</f>
        <v>0.476246470274841</v>
      </c>
      <c r="BF54" s="15" t="n">
        <f aca="false">IF(AG54="",0,MAX(0,MIN(1,(LOG10(MAX(1,AG54))-3)/4)))</f>
        <v>0.359983098899394</v>
      </c>
      <c r="BG54" s="15" t="n">
        <f aca="false">IF(V54="",0,MIN(1,V54/20))</f>
        <v>0</v>
      </c>
      <c r="BH54" s="15" t="n">
        <f aca="false">MAX(IF(P54="",0,MIN(1,('SCORING METHOD'!$C$5-P54)/730)),IF(M54="",0,MAX(0,MIN(1,(LOG10(MAX(1,M54))-1)/2.5))))</f>
        <v>0.483806005817052</v>
      </c>
      <c r="BI54" s="15" t="n">
        <f aca="false">IF(J54="Y",0.4,0)+0.6*N(AY54)/5</f>
        <v>0.52</v>
      </c>
      <c r="BJ54" s="16" t="n">
        <f aca="false">ROUND(BD54*'SCORING METHOD'!$C$6+BE54*'SCORING METHOD'!$C$7+BF54*'SCORING METHOD'!$C$8+BG54*'SCORING METHOD'!$C$9+BH54*'SCORING METHOD'!$C$10+BI54*'SCORING METHOD'!$C$11,1)</f>
        <v>42.1</v>
      </c>
      <c r="BK54" s="15" t="n">
        <f aca="false">IF(AE54="",0,MAX(0,MIN(1,(LOG10(MAX(1,IF(X54="",AE54,MIN(AE54,X54))))-2)/4)))</f>
        <v>0</v>
      </c>
      <c r="BL54" s="15" t="n">
        <f aca="false">IF(AL54="",0,MAX(0,MIN(1,(LOG10(MAX(1,AL54))-3)/4)))</f>
        <v>0</v>
      </c>
      <c r="BM54" s="15" t="n">
        <f aca="false">IF(U54="",0,MIN(1,U54/14))</f>
        <v>0</v>
      </c>
      <c r="BN54" s="15" t="n">
        <f aca="false">IF(OR(P54="",K54="",N54="",M54="",M54=0),0,IF(AND('SCORING METHOD'!$C$5-P54&lt;=60,N54/M54&gt;=0.5),MAX(0,MIN(1,(LOG10(MAX(1,K54/MAX(1,'SCORING METHOD'!$C$5-P54)))-2)/2.5)),0))</f>
        <v>0</v>
      </c>
      <c r="BO54" s="15" t="n">
        <f aca="false">IF(S54="",0,MAX(0,MIN(1,1-(S54-3)/27)))</f>
        <v>0</v>
      </c>
      <c r="BP54" s="16" t="n">
        <f aca="false">ROUND(BK54*'SCORING METHOD'!$C$12+BL54*'SCORING METHOD'!$C$13+BM54*'SCORING METHOD'!$C$14+BN54*'SCORING METHOD'!$C$15+BO54*'SCORING METHOD'!$C$16,1)</f>
        <v>0</v>
      </c>
      <c r="BQ54" s="16" t="n">
        <f aca="false">ROUND((N(AZ54)+N(BA54)+N(BB54)+N(BC54))/20*100,1)</f>
        <v>30</v>
      </c>
      <c r="BR54" s="17" t="n">
        <f aca="false">IFERROR(INDEX('DATA SUFFICIENCY'!$J$2:$J$63,MATCH(C54,'DATA SUFFICIENCY'!$B$2:$B$63,0)),0)</f>
        <v>0.3</v>
      </c>
      <c r="BS54" s="16" t="n">
        <f aca="false">ROUND('SCORING METHOD'!$C$17*BJ54+'SCORING METHOD'!$C$18*BP54+'SCORING METHOD'!$C$19*BQ54+'SCORING METHOD'!$C$20*BR54*100,1)</f>
        <v>25.2</v>
      </c>
      <c r="BT54" s="15" t="n">
        <f aca="false">IF(F54="INCLUDED",BJ54+(1000-ROW())/100000,-1)</f>
        <v>-1</v>
      </c>
      <c r="BU54" s="15" t="n">
        <f aca="false">IF(F54="INCLUDED",BP54+(1000-ROW())/100000,-1)</f>
        <v>-1</v>
      </c>
      <c r="BV54" s="15" t="n">
        <f aca="false">IF(F54="INCLUDED",BQ54+(1000-ROW())/100000,-1)</f>
        <v>-1</v>
      </c>
      <c r="BW54" s="15" t="n">
        <f aca="false">IF(F54="INCLUDED",BS54+(1000-ROW())/100000,-1)</f>
        <v>-1</v>
      </c>
      <c r="BX54" s="2"/>
    </row>
    <row r="55" customFormat="false" ht="15" hidden="false" customHeight="false" outlineLevel="0" collapsed="false">
      <c r="A55" s="2" t="n">
        <v>54</v>
      </c>
      <c r="B55" s="2" t="s">
        <v>860</v>
      </c>
      <c r="C55" s="2" t="s">
        <v>861</v>
      </c>
      <c r="D55" s="3" t="s">
        <v>862</v>
      </c>
      <c r="E55" s="2" t="s">
        <v>792</v>
      </c>
      <c r="F55" s="2" t="s">
        <v>838</v>
      </c>
      <c r="G55" s="2" t="s">
        <v>863</v>
      </c>
      <c r="H55" s="2"/>
      <c r="I55" s="2"/>
      <c r="J55" s="2" t="s">
        <v>352</v>
      </c>
      <c r="K55" s="11" t="n">
        <v>197419</v>
      </c>
      <c r="L55" s="11"/>
      <c r="M55" s="11" t="n">
        <v>268</v>
      </c>
      <c r="N55" s="2"/>
      <c r="O55" s="2"/>
      <c r="P55" s="2"/>
      <c r="Q55" s="2"/>
      <c r="R55" s="12" t="n">
        <v>44095</v>
      </c>
      <c r="S55" s="2" t="n">
        <f aca="false">IF(R55="","",'SCORING METHOD'!$C$5-R55)</f>
        <v>2209</v>
      </c>
      <c r="T55" s="2"/>
      <c r="U55" s="2"/>
      <c r="V55" s="2"/>
      <c r="W55" s="2" t="str">
        <f aca="false">IF(U55="","",U55/2)</f>
        <v/>
      </c>
      <c r="X55" s="11" t="n">
        <v>22896</v>
      </c>
      <c r="Y55" s="11"/>
      <c r="Z55" s="11"/>
      <c r="AA55" s="11"/>
      <c r="AB55" s="2"/>
      <c r="AC55" s="13" t="n">
        <f aca="false">IF(OR(X55="",K55="",K55=0),"",(X55+N(Z55))/K55)</f>
        <v>0.115976679043051</v>
      </c>
      <c r="AD55" s="2" t="str">
        <f aca="false">IF(AC55="","UNKNOWN",IF(AC55&gt;=0.05,"Very high",IF(AC55&gt;=0.02,"High",IF(AC55&gt;=0.005,"Medium","Low"))))</f>
        <v>Very high</v>
      </c>
      <c r="AE55" s="11"/>
      <c r="AF55" s="11"/>
      <c r="AG55" s="11" t="n">
        <v>43545</v>
      </c>
      <c r="AH55" s="2"/>
      <c r="AI55" s="2"/>
      <c r="AJ55" s="11"/>
      <c r="AK55" s="2"/>
      <c r="AL55" s="11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14" t="n">
        <v>1</v>
      </c>
      <c r="AZ55" s="14" t="n">
        <v>2</v>
      </c>
      <c r="BA55" s="14" t="n">
        <v>2</v>
      </c>
      <c r="BB55" s="14" t="n">
        <v>1</v>
      </c>
      <c r="BC55" s="14" t="n">
        <v>1</v>
      </c>
      <c r="BD55" s="15" t="n">
        <f aca="false">IF(K55="",0,MAX(0,MIN(1,(LOG10(MAX(1,K55))-3)/4)))</f>
        <v>0.573847236928982</v>
      </c>
      <c r="BE55" s="15" t="n">
        <f aca="false">IF(X55="",0,MAX(0,MIN(1,(LOG10(MAX(1,X55))-2)/4)))</f>
        <v>0.589939904103925</v>
      </c>
      <c r="BF55" s="15" t="n">
        <f aca="false">IF(AG55="",0,MAX(0,MIN(1,(LOG10(MAX(1,AG55))-3)/4)))</f>
        <v>0.409734573721839</v>
      </c>
      <c r="BG55" s="15" t="n">
        <f aca="false">IF(V55="",0,MIN(1,V55/20))</f>
        <v>0</v>
      </c>
      <c r="BH55" s="15" t="n">
        <f aca="false">MAX(IF(P55="",0,MIN(1,('SCORING METHOD'!$C$5-P55)/730)),IF(M55="",0,MAX(0,MIN(1,(LOG10(MAX(1,M55))-1)/2.5))))</f>
        <v>0.571253917611516</v>
      </c>
      <c r="BI55" s="15" t="n">
        <f aca="false">IF(J55="Y",0.4,0)+0.6*N(AY55)/5</f>
        <v>0.52</v>
      </c>
      <c r="BJ55" s="16" t="n">
        <f aca="false">ROUND(BD55*'SCORING METHOD'!$C$6+BE55*'SCORING METHOD'!$C$7+BF55*'SCORING METHOD'!$C$8+BG55*'SCORING METHOD'!$C$9+BH55*'SCORING METHOD'!$C$10+BI55*'SCORING METHOD'!$C$11,1)</f>
        <v>48.1</v>
      </c>
      <c r="BK55" s="15" t="n">
        <f aca="false">IF(AE55="",0,MAX(0,MIN(1,(LOG10(MAX(1,IF(X55="",AE55,MIN(AE55,X55))))-2)/4)))</f>
        <v>0</v>
      </c>
      <c r="BL55" s="15" t="n">
        <f aca="false">IF(AL55="",0,MAX(0,MIN(1,(LOG10(MAX(1,AL55))-3)/4)))</f>
        <v>0</v>
      </c>
      <c r="BM55" s="15" t="n">
        <f aca="false">IF(U55="",0,MIN(1,U55/14))</f>
        <v>0</v>
      </c>
      <c r="BN55" s="15" t="n">
        <f aca="false">IF(OR(P55="",K55="",N55="",M55="",M55=0),0,IF(AND('SCORING METHOD'!$C$5-P55&lt;=60,N55/M55&gt;=0.5),MAX(0,MIN(1,(LOG10(MAX(1,K55/MAX(1,'SCORING METHOD'!$C$5-P55)))-2)/2.5)),0))</f>
        <v>0</v>
      </c>
      <c r="BO55" s="15" t="n">
        <f aca="false">IF(S55="",0,MAX(0,MIN(1,1-(S55-3)/27)))</f>
        <v>0</v>
      </c>
      <c r="BP55" s="16" t="n">
        <f aca="false">ROUND(BK55*'SCORING METHOD'!$C$12+BL55*'SCORING METHOD'!$C$13+BM55*'SCORING METHOD'!$C$14+BN55*'SCORING METHOD'!$C$15+BO55*'SCORING METHOD'!$C$16,1)</f>
        <v>0</v>
      </c>
      <c r="BQ55" s="16" t="n">
        <f aca="false">ROUND((N(AZ55)+N(BA55)+N(BB55)+N(BC55))/20*100,1)</f>
        <v>30</v>
      </c>
      <c r="BR55" s="17" t="n">
        <f aca="false">IFERROR(INDEX('DATA SUFFICIENCY'!$J$2:$J$63,MATCH(C55,'DATA SUFFICIENCY'!$B$2:$B$63,0)),0)</f>
        <v>0.3</v>
      </c>
      <c r="BS55" s="16" t="n">
        <f aca="false">ROUND('SCORING METHOD'!$C$17*BJ55+'SCORING METHOD'!$C$18*BP55+'SCORING METHOD'!$C$19*BQ55+'SCORING METHOD'!$C$20*BR55*100,1)</f>
        <v>27.3</v>
      </c>
      <c r="BT55" s="15" t="n">
        <f aca="false">IF(F55="INCLUDED",BJ55+(1000-ROW())/100000,-1)</f>
        <v>-1</v>
      </c>
      <c r="BU55" s="15" t="n">
        <f aca="false">IF(F55="INCLUDED",BP55+(1000-ROW())/100000,-1)</f>
        <v>-1</v>
      </c>
      <c r="BV55" s="15" t="n">
        <f aca="false">IF(F55="INCLUDED",BQ55+(1000-ROW())/100000,-1)</f>
        <v>-1</v>
      </c>
      <c r="BW55" s="15" t="n">
        <f aca="false">IF(F55="INCLUDED",BS55+(1000-ROW())/100000,-1)</f>
        <v>-1</v>
      </c>
      <c r="BX55" s="2"/>
    </row>
    <row r="56" customFormat="false" ht="15" hidden="false" customHeight="false" outlineLevel="0" collapsed="false">
      <c r="A56" s="2" t="n">
        <v>55</v>
      </c>
      <c r="B56" s="2" t="s">
        <v>864</v>
      </c>
      <c r="C56" s="2" t="s">
        <v>865</v>
      </c>
      <c r="D56" s="3" t="s">
        <v>866</v>
      </c>
      <c r="E56" s="2" t="s">
        <v>792</v>
      </c>
      <c r="F56" s="2" t="s">
        <v>838</v>
      </c>
      <c r="G56" s="2" t="s">
        <v>867</v>
      </c>
      <c r="H56" s="2"/>
      <c r="I56" s="2"/>
      <c r="J56" s="2" t="s">
        <v>352</v>
      </c>
      <c r="K56" s="11" t="n">
        <v>234650</v>
      </c>
      <c r="L56" s="11"/>
      <c r="M56" s="11" t="n">
        <v>8</v>
      </c>
      <c r="N56" s="2"/>
      <c r="O56" s="2"/>
      <c r="P56" s="2"/>
      <c r="Q56" s="2"/>
      <c r="R56" s="2"/>
      <c r="S56" s="2" t="str">
        <f aca="false">IF(R56="","",'SCORING METHOD'!$C$5-R56)</f>
        <v/>
      </c>
      <c r="T56" s="2"/>
      <c r="U56" s="2"/>
      <c r="V56" s="2"/>
      <c r="W56" s="2" t="str">
        <f aca="false">IF(U56="","",U56/2)</f>
        <v/>
      </c>
      <c r="X56" s="11"/>
      <c r="Y56" s="11"/>
      <c r="Z56" s="11"/>
      <c r="AA56" s="11"/>
      <c r="AB56" s="2"/>
      <c r="AC56" s="13" t="str">
        <f aca="false">IF(OR(X56="",K56="",K56=0),"",(X56+N(Z56))/K56)</f>
        <v/>
      </c>
      <c r="AD56" s="2" t="str">
        <f aca="false">IF(AC56="","UNKNOWN",IF(AC56&gt;=0.05,"Very high",IF(AC56&gt;=0.02,"High",IF(AC56&gt;=0.005,"Medium","Low"))))</f>
        <v>UNKNOWN</v>
      </c>
      <c r="AE56" s="11"/>
      <c r="AF56" s="11"/>
      <c r="AG56" s="11"/>
      <c r="AH56" s="2"/>
      <c r="AI56" s="2"/>
      <c r="AJ56" s="11"/>
      <c r="AK56" s="2"/>
      <c r="AL56" s="11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14" t="n">
        <v>1</v>
      </c>
      <c r="AZ56" s="14" t="n">
        <v>2</v>
      </c>
      <c r="BA56" s="14" t="n">
        <v>2</v>
      </c>
      <c r="BB56" s="14" t="n">
        <v>1</v>
      </c>
      <c r="BC56" s="14" t="n">
        <v>1</v>
      </c>
      <c r="BD56" s="15" t="n">
        <f aca="false">IF(K56="",0,MAX(0,MIN(1,(LOG10(MAX(1,K56))-3)/4)))</f>
        <v>0.592605139637128</v>
      </c>
      <c r="BE56" s="15" t="n">
        <f aca="false">IF(X56="",0,MAX(0,MIN(1,(LOG10(MAX(1,X56))-2)/4)))</f>
        <v>0</v>
      </c>
      <c r="BF56" s="15" t="n">
        <f aca="false">IF(AG56="",0,MAX(0,MIN(1,(LOG10(MAX(1,AG56))-3)/4)))</f>
        <v>0</v>
      </c>
      <c r="BG56" s="15" t="n">
        <f aca="false">IF(V56="",0,MIN(1,V56/20))</f>
        <v>0</v>
      </c>
      <c r="BH56" s="15" t="n">
        <f aca="false">MAX(IF(P56="",0,MIN(1,('SCORING METHOD'!$C$5-P56)/730)),IF(M56="",0,MAX(0,MIN(1,(LOG10(MAX(1,M56))-1)/2.5))))</f>
        <v>0</v>
      </c>
      <c r="BI56" s="15" t="n">
        <f aca="false">IF(J56="Y",0.4,0)+0.6*N(AY56)/5</f>
        <v>0.52</v>
      </c>
      <c r="BJ56" s="16" t="n">
        <f aca="false">ROUND(BD56*'SCORING METHOD'!$C$6+BE56*'SCORING METHOD'!$C$7+BF56*'SCORING METHOD'!$C$8+BG56*'SCORING METHOD'!$C$9+BH56*'SCORING METHOD'!$C$10+BI56*'SCORING METHOD'!$C$11,1)</f>
        <v>23</v>
      </c>
      <c r="BK56" s="15" t="n">
        <f aca="false">IF(AE56="",0,MAX(0,MIN(1,(LOG10(MAX(1,IF(X56="",AE56,MIN(AE56,X56))))-2)/4)))</f>
        <v>0</v>
      </c>
      <c r="BL56" s="15" t="n">
        <f aca="false">IF(AL56="",0,MAX(0,MIN(1,(LOG10(MAX(1,AL56))-3)/4)))</f>
        <v>0</v>
      </c>
      <c r="BM56" s="15" t="n">
        <f aca="false">IF(U56="",0,MIN(1,U56/14))</f>
        <v>0</v>
      </c>
      <c r="BN56" s="15" t="n">
        <f aca="false">IF(OR(P56="",K56="",N56="",M56="",M56=0),0,IF(AND('SCORING METHOD'!$C$5-P56&lt;=60,N56/M56&gt;=0.5),MAX(0,MIN(1,(LOG10(MAX(1,K56/MAX(1,'SCORING METHOD'!$C$5-P56)))-2)/2.5)),0))</f>
        <v>0</v>
      </c>
      <c r="BO56" s="15" t="n">
        <f aca="false">IF(S56="",0,MAX(0,MIN(1,1-(S56-3)/27)))</f>
        <v>0</v>
      </c>
      <c r="BP56" s="16" t="n">
        <f aca="false">ROUND(BK56*'SCORING METHOD'!$C$12+BL56*'SCORING METHOD'!$C$13+BM56*'SCORING METHOD'!$C$14+BN56*'SCORING METHOD'!$C$15+BO56*'SCORING METHOD'!$C$16,1)</f>
        <v>0</v>
      </c>
      <c r="BQ56" s="16" t="n">
        <f aca="false">ROUND((N(AZ56)+N(BA56)+N(BB56)+N(BC56))/20*100,1)</f>
        <v>30</v>
      </c>
      <c r="BR56" s="17" t="n">
        <f aca="false">IFERROR(INDEX('DATA SUFFICIENCY'!$J$2:$J$63,MATCH(C56,'DATA SUFFICIENCY'!$B$2:$B$63,0)),0)</f>
        <v>0.3</v>
      </c>
      <c r="BS56" s="16" t="n">
        <f aca="false">ROUND('SCORING METHOD'!$C$17*BJ56+'SCORING METHOD'!$C$18*BP56+'SCORING METHOD'!$C$19*BQ56+'SCORING METHOD'!$C$20*BR56*100,1)</f>
        <v>18.6</v>
      </c>
      <c r="BT56" s="15" t="n">
        <f aca="false">IF(F56="INCLUDED",BJ56+(1000-ROW())/100000,-1)</f>
        <v>-1</v>
      </c>
      <c r="BU56" s="15" t="n">
        <f aca="false">IF(F56="INCLUDED",BP56+(1000-ROW())/100000,-1)</f>
        <v>-1</v>
      </c>
      <c r="BV56" s="15" t="n">
        <f aca="false">IF(F56="INCLUDED",BQ56+(1000-ROW())/100000,-1)</f>
        <v>-1</v>
      </c>
      <c r="BW56" s="15" t="n">
        <f aca="false">IF(F56="INCLUDED",BS56+(1000-ROW())/100000,-1)</f>
        <v>-1</v>
      </c>
      <c r="BX56" s="2"/>
    </row>
    <row r="57" customFormat="false" ht="15" hidden="false" customHeight="false" outlineLevel="0" collapsed="false">
      <c r="A57" s="2" t="n">
        <v>56</v>
      </c>
      <c r="B57" s="2" t="s">
        <v>868</v>
      </c>
      <c r="C57" s="2" t="s">
        <v>869</v>
      </c>
      <c r="D57" s="3" t="s">
        <v>870</v>
      </c>
      <c r="E57" s="2" t="s">
        <v>792</v>
      </c>
      <c r="F57" s="2" t="s">
        <v>838</v>
      </c>
      <c r="G57" s="2" t="s">
        <v>871</v>
      </c>
      <c r="H57" s="2"/>
      <c r="I57" s="2"/>
      <c r="J57" s="2" t="s">
        <v>278</v>
      </c>
      <c r="K57" s="11" t="n">
        <v>49615</v>
      </c>
      <c r="L57" s="11"/>
      <c r="M57" s="11" t="n">
        <v>58</v>
      </c>
      <c r="N57" s="2"/>
      <c r="O57" s="2"/>
      <c r="P57" s="2"/>
      <c r="Q57" s="2"/>
      <c r="R57" s="2"/>
      <c r="S57" s="2" t="str">
        <f aca="false">IF(R57="","",'SCORING METHOD'!$C$5-R57)</f>
        <v/>
      </c>
      <c r="T57" s="2"/>
      <c r="U57" s="2"/>
      <c r="V57" s="2"/>
      <c r="W57" s="2" t="str">
        <f aca="false">IF(U57="","",U57/2)</f>
        <v/>
      </c>
      <c r="X57" s="11" t="n">
        <v>544</v>
      </c>
      <c r="Y57" s="11"/>
      <c r="Z57" s="11"/>
      <c r="AA57" s="11"/>
      <c r="AB57" s="2"/>
      <c r="AC57" s="13" t="n">
        <f aca="false">IF(OR(X57="",K57="",K57=0),"",(X57+N(Z57))/K57)</f>
        <v>0.0109644260808223</v>
      </c>
      <c r="AD57" s="2" t="str">
        <f aca="false">IF(AC57="","UNKNOWN",IF(AC57&gt;=0.05,"Very high",IF(AC57&gt;=0.02,"High",IF(AC57&gt;=0.005,"Medium","Low"))))</f>
        <v>Medium</v>
      </c>
      <c r="AE57" s="11"/>
      <c r="AF57" s="11"/>
      <c r="AG57" s="11"/>
      <c r="AH57" s="2"/>
      <c r="AI57" s="2"/>
      <c r="AJ57" s="11"/>
      <c r="AK57" s="2"/>
      <c r="AL57" s="11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14" t="n">
        <v>1</v>
      </c>
      <c r="AZ57" s="14" t="n">
        <v>2</v>
      </c>
      <c r="BA57" s="14" t="n">
        <v>2</v>
      </c>
      <c r="BB57" s="14" t="n">
        <v>1</v>
      </c>
      <c r="BC57" s="14" t="n">
        <v>1</v>
      </c>
      <c r="BD57" s="15" t="n">
        <f aca="false">IF(K57="",0,MAX(0,MIN(1,(LOG10(MAX(1,K57))-3)/4)))</f>
        <v>0.423903248922873</v>
      </c>
      <c r="BE57" s="15" t="n">
        <f aca="false">IF(X57="",0,MAX(0,MIN(1,(LOG10(MAX(1,X57))-2)/4)))</f>
        <v>0.183899724924545</v>
      </c>
      <c r="BF57" s="15" t="n">
        <f aca="false">IF(AG57="",0,MAX(0,MIN(1,(LOG10(MAX(1,AG57))-3)/4)))</f>
        <v>0</v>
      </c>
      <c r="BG57" s="15" t="n">
        <f aca="false">IF(V57="",0,MIN(1,V57/20))</f>
        <v>0</v>
      </c>
      <c r="BH57" s="15" t="n">
        <f aca="false">MAX(IF(P57="",0,MIN(1,('SCORING METHOD'!$C$5-P57)/730)),IF(M57="",0,MAX(0,MIN(1,(LOG10(MAX(1,M57))-1)/2.5))))</f>
        <v>0.305371197425175</v>
      </c>
      <c r="BI57" s="15" t="n">
        <f aca="false">IF(J57="Y",0.4,0)+0.6*N(AY57)/5</f>
        <v>0.12</v>
      </c>
      <c r="BJ57" s="16" t="n">
        <f aca="false">ROUND(BD57*'SCORING METHOD'!$C$6+BE57*'SCORING METHOD'!$C$7+BF57*'SCORING METHOD'!$C$8+BG57*'SCORING METHOD'!$C$9+BH57*'SCORING METHOD'!$C$10+BI57*'SCORING METHOD'!$C$11,1)</f>
        <v>20.6</v>
      </c>
      <c r="BK57" s="15" t="n">
        <f aca="false">IF(AE57="",0,MAX(0,MIN(1,(LOG10(MAX(1,IF(X57="",AE57,MIN(AE57,X57))))-2)/4)))</f>
        <v>0</v>
      </c>
      <c r="BL57" s="15" t="n">
        <f aca="false">IF(AL57="",0,MAX(0,MIN(1,(LOG10(MAX(1,AL57))-3)/4)))</f>
        <v>0</v>
      </c>
      <c r="BM57" s="15" t="n">
        <f aca="false">IF(U57="",0,MIN(1,U57/14))</f>
        <v>0</v>
      </c>
      <c r="BN57" s="15" t="n">
        <f aca="false">IF(OR(P57="",K57="",N57="",M57="",M57=0),0,IF(AND('SCORING METHOD'!$C$5-P57&lt;=60,N57/M57&gt;=0.5),MAX(0,MIN(1,(LOG10(MAX(1,K57/MAX(1,'SCORING METHOD'!$C$5-P57)))-2)/2.5)),0))</f>
        <v>0</v>
      </c>
      <c r="BO57" s="15" t="n">
        <f aca="false">IF(S57="",0,MAX(0,MIN(1,1-(S57-3)/27)))</f>
        <v>0</v>
      </c>
      <c r="BP57" s="16" t="n">
        <f aca="false">ROUND(BK57*'SCORING METHOD'!$C$12+BL57*'SCORING METHOD'!$C$13+BM57*'SCORING METHOD'!$C$14+BN57*'SCORING METHOD'!$C$15+BO57*'SCORING METHOD'!$C$16,1)</f>
        <v>0</v>
      </c>
      <c r="BQ57" s="16" t="n">
        <f aca="false">ROUND((N(AZ57)+N(BA57)+N(BB57)+N(BC57))/20*100,1)</f>
        <v>30</v>
      </c>
      <c r="BR57" s="17" t="n">
        <f aca="false">IFERROR(INDEX('DATA SUFFICIENCY'!$J$2:$J$63,MATCH(C57,'DATA SUFFICIENCY'!$B$2:$B$63,0)),0)</f>
        <v>0.3</v>
      </c>
      <c r="BS57" s="16" t="n">
        <f aca="false">ROUND('SCORING METHOD'!$C$17*BJ57+'SCORING METHOD'!$C$18*BP57+'SCORING METHOD'!$C$19*BQ57+'SCORING METHOD'!$C$20*BR57*100,1)</f>
        <v>17.7</v>
      </c>
      <c r="BT57" s="15" t="n">
        <f aca="false">IF(F57="INCLUDED",BJ57+(1000-ROW())/100000,-1)</f>
        <v>-1</v>
      </c>
      <c r="BU57" s="15" t="n">
        <f aca="false">IF(F57="INCLUDED",BP57+(1000-ROW())/100000,-1)</f>
        <v>-1</v>
      </c>
      <c r="BV57" s="15" t="n">
        <f aca="false">IF(F57="INCLUDED",BQ57+(1000-ROW())/100000,-1)</f>
        <v>-1</v>
      </c>
      <c r="BW57" s="15" t="n">
        <f aca="false">IF(F57="INCLUDED",BS57+(1000-ROW())/100000,-1)</f>
        <v>-1</v>
      </c>
      <c r="BX57" s="2"/>
    </row>
    <row r="58" customFormat="false" ht="15" hidden="false" customHeight="false" outlineLevel="0" collapsed="false">
      <c r="A58" s="2" t="n">
        <v>57</v>
      </c>
      <c r="B58" s="2" t="s">
        <v>872</v>
      </c>
      <c r="C58" s="2" t="s">
        <v>873</v>
      </c>
      <c r="D58" s="3" t="s">
        <v>874</v>
      </c>
      <c r="E58" s="2" t="s">
        <v>792</v>
      </c>
      <c r="F58" s="2" t="s">
        <v>838</v>
      </c>
      <c r="G58" s="2" t="s">
        <v>875</v>
      </c>
      <c r="H58" s="2"/>
      <c r="I58" s="2"/>
      <c r="J58" s="2" t="s">
        <v>278</v>
      </c>
      <c r="K58" s="11" t="n">
        <v>5236</v>
      </c>
      <c r="L58" s="11"/>
      <c r="M58" s="11" t="n">
        <v>15</v>
      </c>
      <c r="N58" s="2"/>
      <c r="O58" s="2"/>
      <c r="P58" s="2"/>
      <c r="Q58" s="2"/>
      <c r="R58" s="2"/>
      <c r="S58" s="2" t="str">
        <f aca="false">IF(R58="","",'SCORING METHOD'!$C$5-R58)</f>
        <v/>
      </c>
      <c r="T58" s="2"/>
      <c r="U58" s="2"/>
      <c r="V58" s="2"/>
      <c r="W58" s="2" t="str">
        <f aca="false">IF(U58="","",U58/2)</f>
        <v/>
      </c>
      <c r="X58" s="11" t="n">
        <v>61185</v>
      </c>
      <c r="Y58" s="11"/>
      <c r="Z58" s="11"/>
      <c r="AA58" s="11"/>
      <c r="AB58" s="2"/>
      <c r="AC58" s="13" t="n">
        <f aca="false">IF(OR(X58="",K58="",K58=0),"",(X58+N(Z58))/K58)</f>
        <v>11.6854469060351</v>
      </c>
      <c r="AD58" s="2" t="str">
        <f aca="false">IF(AC58="","UNKNOWN",IF(AC58&gt;=0.05,"Very high",IF(AC58&gt;=0.02,"High",IF(AC58&gt;=0.005,"Medium","Low"))))</f>
        <v>Very high</v>
      </c>
      <c r="AE58" s="11"/>
      <c r="AF58" s="11"/>
      <c r="AG58" s="11"/>
      <c r="AH58" s="2"/>
      <c r="AI58" s="2"/>
      <c r="AJ58" s="11"/>
      <c r="AK58" s="2"/>
      <c r="AL58" s="11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14" t="n">
        <v>1</v>
      </c>
      <c r="AZ58" s="14" t="n">
        <v>2</v>
      </c>
      <c r="BA58" s="14" t="n">
        <v>2</v>
      </c>
      <c r="BB58" s="14" t="n">
        <v>1</v>
      </c>
      <c r="BC58" s="14" t="n">
        <v>1</v>
      </c>
      <c r="BD58" s="15" t="n">
        <f aca="false">IF(K58="",0,MAX(0,MIN(1,(LOG10(MAX(1,K58))-3)/4)))</f>
        <v>0.17974990946968</v>
      </c>
      <c r="BE58" s="15" t="n">
        <f aca="false">IF(X58="",0,MAX(0,MIN(1,(LOG10(MAX(1,X58))-2)/4)))</f>
        <v>0.696661241093194</v>
      </c>
      <c r="BF58" s="15" t="n">
        <f aca="false">IF(AG58="",0,MAX(0,MIN(1,(LOG10(MAX(1,AG58))-3)/4)))</f>
        <v>0</v>
      </c>
      <c r="BG58" s="15" t="n">
        <f aca="false">IF(V58="",0,MIN(1,V58/20))</f>
        <v>0</v>
      </c>
      <c r="BH58" s="15" t="n">
        <f aca="false">MAX(IF(P58="",0,MIN(1,('SCORING METHOD'!$C$5-P58)/730)),IF(M58="",0,MAX(0,MIN(1,(LOG10(MAX(1,M58))-1)/2.5))))</f>
        <v>0.0704365036222725</v>
      </c>
      <c r="BI58" s="15" t="n">
        <f aca="false">IF(J58="Y",0.4,0)+0.6*N(AY58)/5</f>
        <v>0.12</v>
      </c>
      <c r="BJ58" s="16" t="n">
        <f aca="false">ROUND(BD58*'SCORING METHOD'!$C$6+BE58*'SCORING METHOD'!$C$7+BF58*'SCORING METHOD'!$C$8+BG58*'SCORING METHOD'!$C$9+BH58*'SCORING METHOD'!$C$10+BI58*'SCORING METHOD'!$C$11,1)</f>
        <v>21.2</v>
      </c>
      <c r="BK58" s="15" t="n">
        <f aca="false">IF(AE58="",0,MAX(0,MIN(1,(LOG10(MAX(1,IF(X58="",AE58,MIN(AE58,X58))))-2)/4)))</f>
        <v>0</v>
      </c>
      <c r="BL58" s="15" t="n">
        <f aca="false">IF(AL58="",0,MAX(0,MIN(1,(LOG10(MAX(1,AL58))-3)/4)))</f>
        <v>0</v>
      </c>
      <c r="BM58" s="15" t="n">
        <f aca="false">IF(U58="",0,MIN(1,U58/14))</f>
        <v>0</v>
      </c>
      <c r="BN58" s="15" t="n">
        <f aca="false">IF(OR(P58="",K58="",N58="",M58="",M58=0),0,IF(AND('SCORING METHOD'!$C$5-P58&lt;=60,N58/M58&gt;=0.5),MAX(0,MIN(1,(LOG10(MAX(1,K58/MAX(1,'SCORING METHOD'!$C$5-P58)))-2)/2.5)),0))</f>
        <v>0</v>
      </c>
      <c r="BO58" s="15" t="n">
        <f aca="false">IF(S58="",0,MAX(0,MIN(1,1-(S58-3)/27)))</f>
        <v>0</v>
      </c>
      <c r="BP58" s="16" t="n">
        <f aca="false">ROUND(BK58*'SCORING METHOD'!$C$12+BL58*'SCORING METHOD'!$C$13+BM58*'SCORING METHOD'!$C$14+BN58*'SCORING METHOD'!$C$15+BO58*'SCORING METHOD'!$C$16,1)</f>
        <v>0</v>
      </c>
      <c r="BQ58" s="16" t="n">
        <f aca="false">ROUND((N(AZ58)+N(BA58)+N(BB58)+N(BC58))/20*100,1)</f>
        <v>30</v>
      </c>
      <c r="BR58" s="17" t="n">
        <f aca="false">IFERROR(INDEX('DATA SUFFICIENCY'!$J$2:$J$63,MATCH(C58,'DATA SUFFICIENCY'!$B$2:$B$63,0)),0)</f>
        <v>0.3</v>
      </c>
      <c r="BS58" s="16" t="n">
        <f aca="false">ROUND('SCORING METHOD'!$C$17*BJ58+'SCORING METHOD'!$C$18*BP58+'SCORING METHOD'!$C$19*BQ58+'SCORING METHOD'!$C$20*BR58*100,1)</f>
        <v>17.9</v>
      </c>
      <c r="BT58" s="15" t="n">
        <f aca="false">IF(F58="INCLUDED",BJ58+(1000-ROW())/100000,-1)</f>
        <v>-1</v>
      </c>
      <c r="BU58" s="15" t="n">
        <f aca="false">IF(F58="INCLUDED",BP58+(1000-ROW())/100000,-1)</f>
        <v>-1</v>
      </c>
      <c r="BV58" s="15" t="n">
        <f aca="false">IF(F58="INCLUDED",BQ58+(1000-ROW())/100000,-1)</f>
        <v>-1</v>
      </c>
      <c r="BW58" s="15" t="n">
        <f aca="false">IF(F58="INCLUDED",BS58+(1000-ROW())/100000,-1)</f>
        <v>-1</v>
      </c>
      <c r="BX58" s="2"/>
    </row>
    <row r="59" customFormat="false" ht="15" hidden="false" customHeight="false" outlineLevel="0" collapsed="false">
      <c r="A59" s="2" t="n">
        <v>58</v>
      </c>
      <c r="B59" s="2" t="s">
        <v>876</v>
      </c>
      <c r="C59" s="2" t="s">
        <v>877</v>
      </c>
      <c r="D59" s="3" t="s">
        <v>878</v>
      </c>
      <c r="E59" s="2" t="s">
        <v>792</v>
      </c>
      <c r="F59" s="2" t="s">
        <v>838</v>
      </c>
      <c r="G59" s="2" t="s">
        <v>879</v>
      </c>
      <c r="H59" s="2"/>
      <c r="I59" s="2"/>
      <c r="J59" s="2" t="s">
        <v>278</v>
      </c>
      <c r="K59" s="11" t="n">
        <v>22487</v>
      </c>
      <c r="L59" s="11"/>
      <c r="M59" s="11" t="n">
        <v>125</v>
      </c>
      <c r="N59" s="2"/>
      <c r="O59" s="2"/>
      <c r="P59" s="2"/>
      <c r="Q59" s="2"/>
      <c r="R59" s="2"/>
      <c r="S59" s="2" t="str">
        <f aca="false">IF(R59="","",'SCORING METHOD'!$C$5-R59)</f>
        <v/>
      </c>
      <c r="T59" s="2"/>
      <c r="U59" s="2"/>
      <c r="V59" s="2"/>
      <c r="W59" s="2" t="str">
        <f aca="false">IF(U59="","",U59/2)</f>
        <v/>
      </c>
      <c r="X59" s="11" t="n">
        <v>1178</v>
      </c>
      <c r="Y59" s="11"/>
      <c r="Z59" s="11"/>
      <c r="AA59" s="11"/>
      <c r="AB59" s="2"/>
      <c r="AC59" s="13" t="n">
        <f aca="false">IF(OR(X59="",K59="",K59=0),"",(X59+N(Z59))/K59)</f>
        <v>0.0523858229199093</v>
      </c>
      <c r="AD59" s="2" t="str">
        <f aca="false">IF(AC59="","UNKNOWN",IF(AC59&gt;=0.05,"Very high",IF(AC59&gt;=0.02,"High",IF(AC59&gt;=0.005,"Medium","Low"))))</f>
        <v>Very high</v>
      </c>
      <c r="AE59" s="11"/>
      <c r="AF59" s="11"/>
      <c r="AG59" s="11"/>
      <c r="AH59" s="2"/>
      <c r="AI59" s="2"/>
      <c r="AJ59" s="11"/>
      <c r="AK59" s="2"/>
      <c r="AL59" s="11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14" t="n">
        <v>1</v>
      </c>
      <c r="AZ59" s="14" t="n">
        <v>2</v>
      </c>
      <c r="BA59" s="14" t="n">
        <v>2</v>
      </c>
      <c r="BB59" s="14" t="n">
        <v>1</v>
      </c>
      <c r="BC59" s="14" t="n">
        <v>1</v>
      </c>
      <c r="BD59" s="15" t="n">
        <f aca="false">IF(K59="",0,MAX(0,MIN(1,(LOG10(MAX(1,K59))-3)/4)))</f>
        <v>0.337982879973282</v>
      </c>
      <c r="BE59" s="15" t="n">
        <f aca="false">IF(X59="",0,MAX(0,MIN(1,(LOG10(MAX(1,X59))-2)/4)))</f>
        <v>0.267786322612771</v>
      </c>
      <c r="BF59" s="15" t="n">
        <f aca="false">IF(AG59="",0,MAX(0,MIN(1,(LOG10(MAX(1,AG59))-3)/4)))</f>
        <v>0</v>
      </c>
      <c r="BG59" s="15" t="n">
        <f aca="false">IF(V59="",0,MIN(1,V59/20))</f>
        <v>0</v>
      </c>
      <c r="BH59" s="15" t="n">
        <f aca="false">MAX(IF(P59="",0,MIN(1,('SCORING METHOD'!$C$5-P59)/730)),IF(M59="",0,MAX(0,MIN(1,(LOG10(MAX(1,M59))-1)/2.5))))</f>
        <v>0.438764005203223</v>
      </c>
      <c r="BI59" s="15" t="n">
        <f aca="false">IF(J59="Y",0.4,0)+0.6*N(AY59)/5</f>
        <v>0.12</v>
      </c>
      <c r="BJ59" s="16" t="n">
        <f aca="false">ROUND(BD59*'SCORING METHOD'!$C$6+BE59*'SCORING METHOD'!$C$7+BF59*'SCORING METHOD'!$C$8+BG59*'SCORING METHOD'!$C$9+BH59*'SCORING METHOD'!$C$10+BI59*'SCORING METHOD'!$C$11,1)</f>
        <v>21.1</v>
      </c>
      <c r="BK59" s="15" t="n">
        <f aca="false">IF(AE59="",0,MAX(0,MIN(1,(LOG10(MAX(1,IF(X59="",AE59,MIN(AE59,X59))))-2)/4)))</f>
        <v>0</v>
      </c>
      <c r="BL59" s="15" t="n">
        <f aca="false">IF(AL59="",0,MAX(0,MIN(1,(LOG10(MAX(1,AL59))-3)/4)))</f>
        <v>0</v>
      </c>
      <c r="BM59" s="15" t="n">
        <f aca="false">IF(U59="",0,MIN(1,U59/14))</f>
        <v>0</v>
      </c>
      <c r="BN59" s="15" t="n">
        <f aca="false">IF(OR(P59="",K59="",N59="",M59="",M59=0),0,IF(AND('SCORING METHOD'!$C$5-P59&lt;=60,N59/M59&gt;=0.5),MAX(0,MIN(1,(LOG10(MAX(1,K59/MAX(1,'SCORING METHOD'!$C$5-P59)))-2)/2.5)),0))</f>
        <v>0</v>
      </c>
      <c r="BO59" s="15" t="n">
        <f aca="false">IF(S59="",0,MAX(0,MIN(1,1-(S59-3)/27)))</f>
        <v>0</v>
      </c>
      <c r="BP59" s="16" t="n">
        <f aca="false">ROUND(BK59*'SCORING METHOD'!$C$12+BL59*'SCORING METHOD'!$C$13+BM59*'SCORING METHOD'!$C$14+BN59*'SCORING METHOD'!$C$15+BO59*'SCORING METHOD'!$C$16,1)</f>
        <v>0</v>
      </c>
      <c r="BQ59" s="16" t="n">
        <f aca="false">ROUND((N(AZ59)+N(BA59)+N(BB59)+N(BC59))/20*100,1)</f>
        <v>30</v>
      </c>
      <c r="BR59" s="17" t="n">
        <f aca="false">IFERROR(INDEX('DATA SUFFICIENCY'!$J$2:$J$63,MATCH(C59,'DATA SUFFICIENCY'!$B$2:$B$63,0)),0)</f>
        <v>0.3</v>
      </c>
      <c r="BS59" s="16" t="n">
        <f aca="false">ROUND('SCORING METHOD'!$C$17*BJ59+'SCORING METHOD'!$C$18*BP59+'SCORING METHOD'!$C$19*BQ59+'SCORING METHOD'!$C$20*BR59*100,1)</f>
        <v>17.9</v>
      </c>
      <c r="BT59" s="15" t="n">
        <f aca="false">IF(F59="INCLUDED",BJ59+(1000-ROW())/100000,-1)</f>
        <v>-1</v>
      </c>
      <c r="BU59" s="15" t="n">
        <f aca="false">IF(F59="INCLUDED",BP59+(1000-ROW())/100000,-1)</f>
        <v>-1</v>
      </c>
      <c r="BV59" s="15" t="n">
        <f aca="false">IF(F59="INCLUDED",BQ59+(1000-ROW())/100000,-1)</f>
        <v>-1</v>
      </c>
      <c r="BW59" s="15" t="n">
        <f aca="false">IF(F59="INCLUDED",BS59+(1000-ROW())/100000,-1)</f>
        <v>-1</v>
      </c>
      <c r="BX59" s="2"/>
    </row>
    <row r="60" customFormat="false" ht="15" hidden="false" customHeight="false" outlineLevel="0" collapsed="false">
      <c r="A60" s="2" t="n">
        <v>59</v>
      </c>
      <c r="B60" s="2" t="s">
        <v>880</v>
      </c>
      <c r="C60" s="2" t="s">
        <v>881</v>
      </c>
      <c r="D60" s="3" t="s">
        <v>882</v>
      </c>
      <c r="E60" s="2" t="s">
        <v>792</v>
      </c>
      <c r="F60" s="2" t="s">
        <v>838</v>
      </c>
      <c r="G60" s="2" t="s">
        <v>883</v>
      </c>
      <c r="H60" s="2"/>
      <c r="I60" s="2"/>
      <c r="J60" s="2" t="s">
        <v>278</v>
      </c>
      <c r="K60" s="11" t="n">
        <v>20156</v>
      </c>
      <c r="L60" s="11"/>
      <c r="M60" s="11" t="n">
        <v>122</v>
      </c>
      <c r="N60" s="2"/>
      <c r="O60" s="2"/>
      <c r="P60" s="2"/>
      <c r="Q60" s="2"/>
      <c r="R60" s="2"/>
      <c r="S60" s="2" t="str">
        <f aca="false">IF(R60="","",'SCORING METHOD'!$C$5-R60)</f>
        <v/>
      </c>
      <c r="T60" s="2"/>
      <c r="U60" s="2"/>
      <c r="V60" s="2"/>
      <c r="W60" s="2" t="str">
        <f aca="false">IF(U60="","",U60/2)</f>
        <v/>
      </c>
      <c r="X60" s="11" t="n">
        <v>44</v>
      </c>
      <c r="Y60" s="11"/>
      <c r="Z60" s="11"/>
      <c r="AA60" s="11"/>
      <c r="AB60" s="2"/>
      <c r="AC60" s="13" t="n">
        <f aca="false">IF(OR(X60="",K60="",K60=0),"",(X60+N(Z60))/K60)</f>
        <v>0.00218297281206589</v>
      </c>
      <c r="AD60" s="2" t="str">
        <f aca="false">IF(AC60="","UNKNOWN",IF(AC60&gt;=0.05,"Very high",IF(AC60&gt;=0.02,"High",IF(AC60&gt;=0.005,"Medium","Low"))))</f>
        <v>Low</v>
      </c>
      <c r="AE60" s="11"/>
      <c r="AF60" s="11"/>
      <c r="AG60" s="11"/>
      <c r="AH60" s="2"/>
      <c r="AI60" s="2"/>
      <c r="AJ60" s="11"/>
      <c r="AK60" s="2"/>
      <c r="AL60" s="11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14" t="n">
        <v>1</v>
      </c>
      <c r="AZ60" s="14" t="n">
        <v>2</v>
      </c>
      <c r="BA60" s="14" t="n">
        <v>2</v>
      </c>
      <c r="BB60" s="14" t="n">
        <v>1</v>
      </c>
      <c r="BC60" s="14" t="n">
        <v>1</v>
      </c>
      <c r="BD60" s="15" t="n">
        <f aca="false">IF(K60="",0,MAX(0,MIN(1,(LOG10(MAX(1,K60))-3)/4)))</f>
        <v>0.326101087420933</v>
      </c>
      <c r="BE60" s="15" t="n">
        <f aca="false">IF(X60="",0,MAX(0,MIN(1,(LOG10(MAX(1,X60))-2)/4)))</f>
        <v>0</v>
      </c>
      <c r="BF60" s="15" t="n">
        <f aca="false">IF(AG60="",0,MAX(0,MIN(1,(LOG10(MAX(1,AG60))-3)/4)))</f>
        <v>0</v>
      </c>
      <c r="BG60" s="15" t="n">
        <f aca="false">IF(V60="",0,MIN(1,V60/20))</f>
        <v>0</v>
      </c>
      <c r="BH60" s="15" t="n">
        <f aca="false">MAX(IF(P60="",0,MIN(1,('SCORING METHOD'!$C$5-P60)/730)),IF(M60="",0,MAX(0,MIN(1,(LOG10(MAX(1,M60))-1)/2.5))))</f>
        <v>0.434543932269899</v>
      </c>
      <c r="BI60" s="15" t="n">
        <f aca="false">IF(J60="Y",0.4,0)+0.6*N(AY60)/5</f>
        <v>0.12</v>
      </c>
      <c r="BJ60" s="16" t="n">
        <f aca="false">ROUND(BD60*'SCORING METHOD'!$C$6+BE60*'SCORING METHOD'!$C$7+BF60*'SCORING METHOD'!$C$8+BG60*'SCORING METHOD'!$C$9+BH60*'SCORING METHOD'!$C$10+BI60*'SCORING METHOD'!$C$11,1)</f>
        <v>15.3</v>
      </c>
      <c r="BK60" s="15" t="n">
        <f aca="false">IF(AE60="",0,MAX(0,MIN(1,(LOG10(MAX(1,IF(X60="",AE60,MIN(AE60,X60))))-2)/4)))</f>
        <v>0</v>
      </c>
      <c r="BL60" s="15" t="n">
        <f aca="false">IF(AL60="",0,MAX(0,MIN(1,(LOG10(MAX(1,AL60))-3)/4)))</f>
        <v>0</v>
      </c>
      <c r="BM60" s="15" t="n">
        <f aca="false">IF(U60="",0,MIN(1,U60/14))</f>
        <v>0</v>
      </c>
      <c r="BN60" s="15" t="n">
        <f aca="false">IF(OR(P60="",K60="",N60="",M60="",M60=0),0,IF(AND('SCORING METHOD'!$C$5-P60&lt;=60,N60/M60&gt;=0.5),MAX(0,MIN(1,(LOG10(MAX(1,K60/MAX(1,'SCORING METHOD'!$C$5-P60)))-2)/2.5)),0))</f>
        <v>0</v>
      </c>
      <c r="BO60" s="15" t="n">
        <f aca="false">IF(S60="",0,MAX(0,MIN(1,1-(S60-3)/27)))</f>
        <v>0</v>
      </c>
      <c r="BP60" s="16" t="n">
        <f aca="false">ROUND(BK60*'SCORING METHOD'!$C$12+BL60*'SCORING METHOD'!$C$13+BM60*'SCORING METHOD'!$C$14+BN60*'SCORING METHOD'!$C$15+BO60*'SCORING METHOD'!$C$16,1)</f>
        <v>0</v>
      </c>
      <c r="BQ60" s="16" t="n">
        <f aca="false">ROUND((N(AZ60)+N(BA60)+N(BB60)+N(BC60))/20*100,1)</f>
        <v>30</v>
      </c>
      <c r="BR60" s="17" t="n">
        <f aca="false">IFERROR(INDEX('DATA SUFFICIENCY'!$J$2:$J$63,MATCH(C60,'DATA SUFFICIENCY'!$B$2:$B$63,0)),0)</f>
        <v>0.3</v>
      </c>
      <c r="BS60" s="16" t="n">
        <f aca="false">ROUND('SCORING METHOD'!$C$17*BJ60+'SCORING METHOD'!$C$18*BP60+'SCORING METHOD'!$C$19*BQ60+'SCORING METHOD'!$C$20*BR60*100,1)</f>
        <v>15.9</v>
      </c>
      <c r="BT60" s="15" t="n">
        <f aca="false">IF(F60="INCLUDED",BJ60+(1000-ROW())/100000,-1)</f>
        <v>-1</v>
      </c>
      <c r="BU60" s="15" t="n">
        <f aca="false">IF(F60="INCLUDED",BP60+(1000-ROW())/100000,-1)</f>
        <v>-1</v>
      </c>
      <c r="BV60" s="15" t="n">
        <f aca="false">IF(F60="INCLUDED",BQ60+(1000-ROW())/100000,-1)</f>
        <v>-1</v>
      </c>
      <c r="BW60" s="15" t="n">
        <f aca="false">IF(F60="INCLUDED",BS60+(1000-ROW())/100000,-1)</f>
        <v>-1</v>
      </c>
      <c r="BX60" s="2"/>
    </row>
    <row r="61" customFormat="false" ht="15" hidden="false" customHeight="false" outlineLevel="0" collapsed="false">
      <c r="A61" s="2" t="n">
        <v>60</v>
      </c>
      <c r="B61" s="2" t="s">
        <v>884</v>
      </c>
      <c r="C61" s="2" t="s">
        <v>885</v>
      </c>
      <c r="D61" s="3" t="s">
        <v>886</v>
      </c>
      <c r="E61" s="2" t="s">
        <v>792</v>
      </c>
      <c r="F61" s="2" t="s">
        <v>838</v>
      </c>
      <c r="G61" s="2" t="s">
        <v>887</v>
      </c>
      <c r="H61" s="2"/>
      <c r="I61" s="2"/>
      <c r="J61" s="2" t="s">
        <v>278</v>
      </c>
      <c r="K61" s="11" t="n">
        <v>8921</v>
      </c>
      <c r="L61" s="11"/>
      <c r="M61" s="11" t="n">
        <v>1</v>
      </c>
      <c r="N61" s="2"/>
      <c r="O61" s="2"/>
      <c r="P61" s="2"/>
      <c r="Q61" s="2"/>
      <c r="R61" s="2"/>
      <c r="S61" s="2" t="str">
        <f aca="false">IF(R61="","",'SCORING METHOD'!$C$5-R61)</f>
        <v/>
      </c>
      <c r="T61" s="2"/>
      <c r="U61" s="2"/>
      <c r="V61" s="2"/>
      <c r="W61" s="2" t="str">
        <f aca="false">IF(U61="","",U61/2)</f>
        <v/>
      </c>
      <c r="X61" s="11"/>
      <c r="Y61" s="11"/>
      <c r="Z61" s="11"/>
      <c r="AA61" s="11"/>
      <c r="AB61" s="2"/>
      <c r="AC61" s="13" t="str">
        <f aca="false">IF(OR(X61="",K61="",K61=0),"",(X61+N(Z61))/K61)</f>
        <v/>
      </c>
      <c r="AD61" s="2" t="str">
        <f aca="false">IF(AC61="","UNKNOWN",IF(AC61&gt;=0.05,"Very high",IF(AC61&gt;=0.02,"High",IF(AC61&gt;=0.005,"Medium","Low"))))</f>
        <v>UNKNOWN</v>
      </c>
      <c r="AE61" s="11"/>
      <c r="AF61" s="11"/>
      <c r="AG61" s="11"/>
      <c r="AH61" s="2"/>
      <c r="AI61" s="2"/>
      <c r="AJ61" s="11"/>
      <c r="AK61" s="2"/>
      <c r="AL61" s="11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14" t="n">
        <v>1</v>
      </c>
      <c r="AZ61" s="14" t="n">
        <v>2</v>
      </c>
      <c r="BA61" s="14" t="n">
        <v>2</v>
      </c>
      <c r="BB61" s="14" t="n">
        <v>1</v>
      </c>
      <c r="BC61" s="14" t="n">
        <v>1</v>
      </c>
      <c r="BD61" s="15" t="n">
        <f aca="false">IF(K61="",0,MAX(0,MIN(1,(LOG10(MAX(1,K61))-3)/4)))</f>
        <v>0.237603384842345</v>
      </c>
      <c r="BE61" s="15" t="n">
        <f aca="false">IF(X61="",0,MAX(0,MIN(1,(LOG10(MAX(1,X61))-2)/4)))</f>
        <v>0</v>
      </c>
      <c r="BF61" s="15" t="n">
        <f aca="false">IF(AG61="",0,MAX(0,MIN(1,(LOG10(MAX(1,AG61))-3)/4)))</f>
        <v>0</v>
      </c>
      <c r="BG61" s="15" t="n">
        <f aca="false">IF(V61="",0,MIN(1,V61/20))</f>
        <v>0</v>
      </c>
      <c r="BH61" s="15" t="n">
        <f aca="false">MAX(IF(P61="",0,MIN(1,('SCORING METHOD'!$C$5-P61)/730)),IF(M61="",0,MAX(0,MIN(1,(LOG10(MAX(1,M61))-1)/2.5))))</f>
        <v>0</v>
      </c>
      <c r="BI61" s="15" t="n">
        <f aca="false">IF(J61="Y",0.4,0)+0.6*N(AY61)/5</f>
        <v>0.12</v>
      </c>
      <c r="BJ61" s="16" t="n">
        <f aca="false">ROUND(BD61*'SCORING METHOD'!$C$6+BE61*'SCORING METHOD'!$C$7+BF61*'SCORING METHOD'!$C$8+BG61*'SCORING METHOD'!$C$9+BH61*'SCORING METHOD'!$C$10+BI61*'SCORING METHOD'!$C$11,1)</f>
        <v>8.3</v>
      </c>
      <c r="BK61" s="15" t="n">
        <f aca="false">IF(AE61="",0,MAX(0,MIN(1,(LOG10(MAX(1,IF(X61="",AE61,MIN(AE61,X61))))-2)/4)))</f>
        <v>0</v>
      </c>
      <c r="BL61" s="15" t="n">
        <f aca="false">IF(AL61="",0,MAX(0,MIN(1,(LOG10(MAX(1,AL61))-3)/4)))</f>
        <v>0</v>
      </c>
      <c r="BM61" s="15" t="n">
        <f aca="false">IF(U61="",0,MIN(1,U61/14))</f>
        <v>0</v>
      </c>
      <c r="BN61" s="15" t="n">
        <f aca="false">IF(OR(P61="",K61="",N61="",M61="",M61=0),0,IF(AND('SCORING METHOD'!$C$5-P61&lt;=60,N61/M61&gt;=0.5),MAX(0,MIN(1,(LOG10(MAX(1,K61/MAX(1,'SCORING METHOD'!$C$5-P61)))-2)/2.5)),0))</f>
        <v>0</v>
      </c>
      <c r="BO61" s="15" t="n">
        <f aca="false">IF(S61="",0,MAX(0,MIN(1,1-(S61-3)/27)))</f>
        <v>0</v>
      </c>
      <c r="BP61" s="16" t="n">
        <f aca="false">ROUND(BK61*'SCORING METHOD'!$C$12+BL61*'SCORING METHOD'!$C$13+BM61*'SCORING METHOD'!$C$14+BN61*'SCORING METHOD'!$C$15+BO61*'SCORING METHOD'!$C$16,1)</f>
        <v>0</v>
      </c>
      <c r="BQ61" s="16" t="n">
        <f aca="false">ROUND((N(AZ61)+N(BA61)+N(BB61)+N(BC61))/20*100,1)</f>
        <v>30</v>
      </c>
      <c r="BR61" s="17" t="n">
        <f aca="false">IFERROR(INDEX('DATA SUFFICIENCY'!$J$2:$J$63,MATCH(C61,'DATA SUFFICIENCY'!$B$2:$B$63,0)),0)</f>
        <v>0.3</v>
      </c>
      <c r="BS61" s="16" t="n">
        <f aca="false">ROUND('SCORING METHOD'!$C$17*BJ61+'SCORING METHOD'!$C$18*BP61+'SCORING METHOD'!$C$19*BQ61+'SCORING METHOD'!$C$20*BR61*100,1)</f>
        <v>13.4</v>
      </c>
      <c r="BT61" s="15" t="n">
        <f aca="false">IF(F61="INCLUDED",BJ61+(1000-ROW())/100000,-1)</f>
        <v>-1</v>
      </c>
      <c r="BU61" s="15" t="n">
        <f aca="false">IF(F61="INCLUDED",BP61+(1000-ROW())/100000,-1)</f>
        <v>-1</v>
      </c>
      <c r="BV61" s="15" t="n">
        <f aca="false">IF(F61="INCLUDED",BQ61+(1000-ROW())/100000,-1)</f>
        <v>-1</v>
      </c>
      <c r="BW61" s="15" t="n">
        <f aca="false">IF(F61="INCLUDED",BS61+(1000-ROW())/100000,-1)</f>
        <v>-1</v>
      </c>
      <c r="BX61" s="2"/>
    </row>
    <row r="62" customFormat="false" ht="15" hidden="false" customHeight="false" outlineLevel="0" collapsed="false">
      <c r="A62" s="2" t="n">
        <v>61</v>
      </c>
      <c r="B62" s="2" t="s">
        <v>888</v>
      </c>
      <c r="C62" s="2" t="s">
        <v>889</v>
      </c>
      <c r="D62" s="3" t="s">
        <v>890</v>
      </c>
      <c r="E62" s="2" t="s">
        <v>792</v>
      </c>
      <c r="F62" s="2" t="s">
        <v>838</v>
      </c>
      <c r="G62" s="2" t="s">
        <v>891</v>
      </c>
      <c r="H62" s="2"/>
      <c r="I62" s="2"/>
      <c r="J62" s="2" t="s">
        <v>278</v>
      </c>
      <c r="K62" s="11" t="n">
        <v>32</v>
      </c>
      <c r="L62" s="11"/>
      <c r="M62" s="11" t="n">
        <v>0</v>
      </c>
      <c r="N62" s="2"/>
      <c r="O62" s="2"/>
      <c r="P62" s="2"/>
      <c r="Q62" s="2"/>
      <c r="R62" s="2"/>
      <c r="S62" s="2" t="str">
        <f aca="false">IF(R62="","",'SCORING METHOD'!$C$5-R62)</f>
        <v/>
      </c>
      <c r="T62" s="2"/>
      <c r="U62" s="2"/>
      <c r="V62" s="2"/>
      <c r="W62" s="2" t="str">
        <f aca="false">IF(U62="","",U62/2)</f>
        <v/>
      </c>
      <c r="X62" s="11"/>
      <c r="Y62" s="11"/>
      <c r="Z62" s="11"/>
      <c r="AA62" s="11"/>
      <c r="AB62" s="2"/>
      <c r="AC62" s="13" t="str">
        <f aca="false">IF(OR(X62="",K62="",K62=0),"",(X62+N(Z62))/K62)</f>
        <v/>
      </c>
      <c r="AD62" s="2" t="str">
        <f aca="false">IF(AC62="","UNKNOWN",IF(AC62&gt;=0.05,"Very high",IF(AC62&gt;=0.02,"High",IF(AC62&gt;=0.005,"Medium","Low"))))</f>
        <v>UNKNOWN</v>
      </c>
      <c r="AE62" s="11"/>
      <c r="AF62" s="11"/>
      <c r="AG62" s="11"/>
      <c r="AH62" s="2"/>
      <c r="AI62" s="2"/>
      <c r="AJ62" s="11"/>
      <c r="AK62" s="2"/>
      <c r="AL62" s="11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14" t="n">
        <v>1</v>
      </c>
      <c r="AZ62" s="14" t="n">
        <v>2</v>
      </c>
      <c r="BA62" s="14" t="n">
        <v>2</v>
      </c>
      <c r="BB62" s="14" t="n">
        <v>1</v>
      </c>
      <c r="BC62" s="14" t="n">
        <v>1</v>
      </c>
      <c r="BD62" s="15" t="n">
        <f aca="false">IF(K62="",0,MAX(0,MIN(1,(LOG10(MAX(1,K62))-3)/4)))</f>
        <v>0</v>
      </c>
      <c r="BE62" s="15" t="n">
        <f aca="false">IF(X62="",0,MAX(0,MIN(1,(LOG10(MAX(1,X62))-2)/4)))</f>
        <v>0</v>
      </c>
      <c r="BF62" s="15" t="n">
        <f aca="false">IF(AG62="",0,MAX(0,MIN(1,(LOG10(MAX(1,AG62))-3)/4)))</f>
        <v>0</v>
      </c>
      <c r="BG62" s="15" t="n">
        <f aca="false">IF(V62="",0,MIN(1,V62/20))</f>
        <v>0</v>
      </c>
      <c r="BH62" s="15" t="n">
        <f aca="false">MAX(IF(P62="",0,MIN(1,('SCORING METHOD'!$C$5-P62)/730)),IF(M62="",0,MAX(0,MIN(1,(LOG10(MAX(1,M62))-1)/2.5))))</f>
        <v>0</v>
      </c>
      <c r="BI62" s="15" t="n">
        <f aca="false">IF(J62="Y",0.4,0)+0.6*N(AY62)/5</f>
        <v>0.12</v>
      </c>
      <c r="BJ62" s="16" t="n">
        <f aca="false">ROUND(BD62*'SCORING METHOD'!$C$6+BE62*'SCORING METHOD'!$C$7+BF62*'SCORING METHOD'!$C$8+BG62*'SCORING METHOD'!$C$9+BH62*'SCORING METHOD'!$C$10+BI62*'SCORING METHOD'!$C$11,1)</f>
        <v>1.2</v>
      </c>
      <c r="BK62" s="15" t="n">
        <f aca="false">IF(AE62="",0,MAX(0,MIN(1,(LOG10(MAX(1,IF(X62="",AE62,MIN(AE62,X62))))-2)/4)))</f>
        <v>0</v>
      </c>
      <c r="BL62" s="15" t="n">
        <f aca="false">IF(AL62="",0,MAX(0,MIN(1,(LOG10(MAX(1,AL62))-3)/4)))</f>
        <v>0</v>
      </c>
      <c r="BM62" s="15" t="n">
        <f aca="false">IF(U62="",0,MIN(1,U62/14))</f>
        <v>0</v>
      </c>
      <c r="BN62" s="15" t="n">
        <f aca="false">IF(OR(P62="",K62="",N62="",M62="",M62=0),0,IF(AND('SCORING METHOD'!$C$5-P62&lt;=60,N62/M62&gt;=0.5),MAX(0,MIN(1,(LOG10(MAX(1,K62/MAX(1,'SCORING METHOD'!$C$5-P62)))-2)/2.5)),0))</f>
        <v>0</v>
      </c>
      <c r="BO62" s="15" t="n">
        <f aca="false">IF(S62="",0,MAX(0,MIN(1,1-(S62-3)/27)))</f>
        <v>0</v>
      </c>
      <c r="BP62" s="16" t="n">
        <f aca="false">ROUND(BK62*'SCORING METHOD'!$C$12+BL62*'SCORING METHOD'!$C$13+BM62*'SCORING METHOD'!$C$14+BN62*'SCORING METHOD'!$C$15+BO62*'SCORING METHOD'!$C$16,1)</f>
        <v>0</v>
      </c>
      <c r="BQ62" s="16" t="n">
        <f aca="false">ROUND((N(AZ62)+N(BA62)+N(BB62)+N(BC62))/20*100,1)</f>
        <v>30</v>
      </c>
      <c r="BR62" s="17" t="n">
        <f aca="false">IFERROR(INDEX('DATA SUFFICIENCY'!$J$2:$J$63,MATCH(C62,'DATA SUFFICIENCY'!$B$2:$B$63,0)),0)</f>
        <v>0.3</v>
      </c>
      <c r="BS62" s="16" t="n">
        <f aca="false">ROUND('SCORING METHOD'!$C$17*BJ62+'SCORING METHOD'!$C$18*BP62+'SCORING METHOD'!$C$19*BQ62+'SCORING METHOD'!$C$20*BR62*100,1)</f>
        <v>10.9</v>
      </c>
      <c r="BT62" s="15" t="n">
        <f aca="false">IF(F62="INCLUDED",BJ62+(1000-ROW())/100000,-1)</f>
        <v>-1</v>
      </c>
      <c r="BU62" s="15" t="n">
        <f aca="false">IF(F62="INCLUDED",BP62+(1000-ROW())/100000,-1)</f>
        <v>-1</v>
      </c>
      <c r="BV62" s="15" t="n">
        <f aca="false">IF(F62="INCLUDED",BQ62+(1000-ROW())/100000,-1)</f>
        <v>-1</v>
      </c>
      <c r="BW62" s="15" t="n">
        <f aca="false">IF(F62="INCLUDED",BS62+(1000-ROW())/100000,-1)</f>
        <v>-1</v>
      </c>
      <c r="BX62" s="2"/>
    </row>
    <row r="63" customFormat="false" ht="15" hidden="false" customHeight="false" outlineLevel="0" collapsed="false">
      <c r="A63" s="2" t="n">
        <v>62</v>
      </c>
      <c r="B63" s="2" t="s">
        <v>892</v>
      </c>
      <c r="C63" s="2" t="s">
        <v>893</v>
      </c>
      <c r="D63" s="3" t="s">
        <v>894</v>
      </c>
      <c r="E63" s="2" t="s">
        <v>792</v>
      </c>
      <c r="F63" s="2" t="s">
        <v>838</v>
      </c>
      <c r="G63" s="2" t="s">
        <v>895</v>
      </c>
      <c r="H63" s="2"/>
      <c r="I63" s="2"/>
      <c r="J63" s="2" t="s">
        <v>278</v>
      </c>
      <c r="K63" s="11" t="n">
        <v>20</v>
      </c>
      <c r="L63" s="11"/>
      <c r="M63" s="11" t="n">
        <v>0</v>
      </c>
      <c r="N63" s="2"/>
      <c r="O63" s="2"/>
      <c r="P63" s="2"/>
      <c r="Q63" s="2"/>
      <c r="R63" s="2"/>
      <c r="S63" s="2" t="str">
        <f aca="false">IF(R63="","",'SCORING METHOD'!$C$5-R63)</f>
        <v/>
      </c>
      <c r="T63" s="2"/>
      <c r="U63" s="2"/>
      <c r="V63" s="2"/>
      <c r="W63" s="2" t="str">
        <f aca="false">IF(U63="","",U63/2)</f>
        <v/>
      </c>
      <c r="X63" s="11"/>
      <c r="Y63" s="11"/>
      <c r="Z63" s="11"/>
      <c r="AA63" s="11"/>
      <c r="AB63" s="2"/>
      <c r="AC63" s="13" t="str">
        <f aca="false">IF(OR(X63="",K63="",K63=0),"",(X63+N(Z63))/K63)</f>
        <v/>
      </c>
      <c r="AD63" s="2" t="str">
        <f aca="false">IF(AC63="","UNKNOWN",IF(AC63&gt;=0.05,"Very high",IF(AC63&gt;=0.02,"High",IF(AC63&gt;=0.005,"Medium","Low"))))</f>
        <v>UNKNOWN</v>
      </c>
      <c r="AE63" s="11"/>
      <c r="AF63" s="11"/>
      <c r="AG63" s="11"/>
      <c r="AH63" s="2"/>
      <c r="AI63" s="2"/>
      <c r="AJ63" s="11"/>
      <c r="AK63" s="2"/>
      <c r="AL63" s="11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14" t="n">
        <v>1</v>
      </c>
      <c r="AZ63" s="14" t="n">
        <v>2</v>
      </c>
      <c r="BA63" s="14" t="n">
        <v>2</v>
      </c>
      <c r="BB63" s="14" t="n">
        <v>1</v>
      </c>
      <c r="BC63" s="14" t="n">
        <v>1</v>
      </c>
      <c r="BD63" s="15" t="n">
        <f aca="false">IF(K63="",0,MAX(0,MIN(1,(LOG10(MAX(1,K63))-3)/4)))</f>
        <v>0</v>
      </c>
      <c r="BE63" s="15" t="n">
        <f aca="false">IF(X63="",0,MAX(0,MIN(1,(LOG10(MAX(1,X63))-2)/4)))</f>
        <v>0</v>
      </c>
      <c r="BF63" s="15" t="n">
        <f aca="false">IF(AG63="",0,MAX(0,MIN(1,(LOG10(MAX(1,AG63))-3)/4)))</f>
        <v>0</v>
      </c>
      <c r="BG63" s="15" t="n">
        <f aca="false">IF(V63="",0,MIN(1,V63/20))</f>
        <v>0</v>
      </c>
      <c r="BH63" s="15" t="n">
        <f aca="false">MAX(IF(P63="",0,MIN(1,('SCORING METHOD'!$C$5-P63)/730)),IF(M63="",0,MAX(0,MIN(1,(LOG10(MAX(1,M63))-1)/2.5))))</f>
        <v>0</v>
      </c>
      <c r="BI63" s="15" t="n">
        <f aca="false">IF(J63="Y",0.4,0)+0.6*N(AY63)/5</f>
        <v>0.12</v>
      </c>
      <c r="BJ63" s="16" t="n">
        <f aca="false">ROUND(BD63*'SCORING METHOD'!$C$6+BE63*'SCORING METHOD'!$C$7+BF63*'SCORING METHOD'!$C$8+BG63*'SCORING METHOD'!$C$9+BH63*'SCORING METHOD'!$C$10+BI63*'SCORING METHOD'!$C$11,1)</f>
        <v>1.2</v>
      </c>
      <c r="BK63" s="15" t="n">
        <f aca="false">IF(AE63="",0,MAX(0,MIN(1,(LOG10(MAX(1,IF(X63="",AE63,MIN(AE63,X63))))-2)/4)))</f>
        <v>0</v>
      </c>
      <c r="BL63" s="15" t="n">
        <f aca="false">IF(AL63="",0,MAX(0,MIN(1,(LOG10(MAX(1,AL63))-3)/4)))</f>
        <v>0</v>
      </c>
      <c r="BM63" s="15" t="n">
        <f aca="false">IF(U63="",0,MIN(1,U63/14))</f>
        <v>0</v>
      </c>
      <c r="BN63" s="15" t="n">
        <f aca="false">IF(OR(P63="",K63="",N63="",M63="",M63=0),0,IF(AND('SCORING METHOD'!$C$5-P63&lt;=60,N63/M63&gt;=0.5),MAX(0,MIN(1,(LOG10(MAX(1,K63/MAX(1,'SCORING METHOD'!$C$5-P63)))-2)/2.5)),0))</f>
        <v>0</v>
      </c>
      <c r="BO63" s="15" t="n">
        <f aca="false">IF(S63="",0,MAX(0,MIN(1,1-(S63-3)/27)))</f>
        <v>0</v>
      </c>
      <c r="BP63" s="16" t="n">
        <f aca="false">ROUND(BK63*'SCORING METHOD'!$C$12+BL63*'SCORING METHOD'!$C$13+BM63*'SCORING METHOD'!$C$14+BN63*'SCORING METHOD'!$C$15+BO63*'SCORING METHOD'!$C$16,1)</f>
        <v>0</v>
      </c>
      <c r="BQ63" s="16" t="n">
        <f aca="false">ROUND((N(AZ63)+N(BA63)+N(BB63)+N(BC63))/20*100,1)</f>
        <v>30</v>
      </c>
      <c r="BR63" s="17" t="n">
        <f aca="false">IFERROR(INDEX('DATA SUFFICIENCY'!$J$2:$J$63,MATCH(C63,'DATA SUFFICIENCY'!$B$2:$B$63,0)),0)</f>
        <v>0.3</v>
      </c>
      <c r="BS63" s="16" t="n">
        <f aca="false">ROUND('SCORING METHOD'!$C$17*BJ63+'SCORING METHOD'!$C$18*BP63+'SCORING METHOD'!$C$19*BQ63+'SCORING METHOD'!$C$20*BR63*100,1)</f>
        <v>10.9</v>
      </c>
      <c r="BT63" s="15" t="n">
        <f aca="false">IF(F63="INCLUDED",BJ63+(1000-ROW())/100000,-1)</f>
        <v>-1</v>
      </c>
      <c r="BU63" s="15" t="n">
        <f aca="false">IF(F63="INCLUDED",BP63+(1000-ROW())/100000,-1)</f>
        <v>-1</v>
      </c>
      <c r="BV63" s="15" t="n">
        <f aca="false">IF(F63="INCLUDED",BQ63+(1000-ROW())/100000,-1)</f>
        <v>-1</v>
      </c>
      <c r="BW63" s="15" t="n">
        <f aca="false">IF(F63="INCLUDED",BS63+(1000-ROW())/100000,-1)</f>
        <v>-1</v>
      </c>
      <c r="BX63" s="2"/>
    </row>
  </sheetData>
  <autoFilter ref="A1:BX63"/>
  <hyperlinks>
    <hyperlink ref="D2" r:id="rId2" display="https://www.instagram.com/jean_philanthrope/"/>
    <hyperlink ref="AH2" r:id="rId3" display="https://www.instagram.com/p/Ddb0QUyqnhG/"/>
    <hyperlink ref="AM2" r:id="rId4" display="https://www.instagram.com/p/Ddy7hfsiPyt/"/>
    <hyperlink ref="D3" r:id="rId5" display="https://www.instagram.com/benjamin_stachio/"/>
    <hyperlink ref="AH3" r:id="rId6" display="https://www.instagram.com/p/Dd2joiwTDJv/"/>
    <hyperlink ref="AM3" r:id="rId7" display="https://www.instagram.com/p/Dd4BE9nMR7M/"/>
    <hyperlink ref="D4" r:id="rId8" display="https://www.instagram.com/lord.farquaad.sol/"/>
    <hyperlink ref="AH4" r:id="rId9" display="https://www.instagram.com/p/DdwhswgBSFq/"/>
    <hyperlink ref="AM4" r:id="rId10" display="https://www.instagram.com/p/DdwhswgBSFq/"/>
    <hyperlink ref="D5" r:id="rId11" display="https://www.instagram.com/archibald_brown/"/>
    <hyperlink ref="AH5" r:id="rId12" display="https://www.instagram.com/p/DdmQOpyMNfr/"/>
    <hyperlink ref="AM5" r:id="rId13" display="https://www.instagram.com/p/DdzwiRxMIMU/"/>
    <hyperlink ref="D6" r:id="rId14" display="https://www.instagram.com/abu.shalab/"/>
    <hyperlink ref="AH6" r:id="rId15" display="https://www.instagram.com/p/Dduf1zGNri-/"/>
    <hyperlink ref="AM6" r:id="rId16" display="https://www.instagram.com/p/Dduf1zGNri-/"/>
    <hyperlink ref="D7" r:id="rId17" display="https://www.instagram.com/brigittemacaron_/"/>
    <hyperlink ref="AH7" r:id="rId18" display="https://www.instagram.com/p/DeEZ0sEN_Hy/"/>
    <hyperlink ref="AM7" r:id="rId19" display="https://www.instagram.com/p/DeEZ0sEN_Hy/"/>
    <hyperlink ref="D8" r:id="rId20" display="https://www.instagram.com/bill_smith_prince/"/>
    <hyperlink ref="AH8" r:id="rId21" display="https://www.instagram.com/p/Ddqo1FvtNyH/"/>
    <hyperlink ref="AM8" r:id="rId22" display="https://www.instagram.com/p/DdtyIBLt2oE/"/>
    <hyperlink ref="D9" r:id="rId23" display="https://www.instagram.com/derek.mercer.2006/"/>
    <hyperlink ref="AH9" r:id="rId24" display="https://www.instagram.com/p/Dd1y2m2sMRB/"/>
    <hyperlink ref="AM9" r:id="rId25" display="https://www.instagram.com/p/Dd1y2m2sMRB/"/>
    <hyperlink ref="D10" r:id="rId26" display="https://www.instagram.com/abunuttyofficial/"/>
    <hyperlink ref="AM10" r:id="rId27" display="https://www.instagram.com/p/Dd9effMAN2F/"/>
    <hyperlink ref="D11" r:id="rId28" display="https://www.instagram.com/casper.iggy/"/>
    <hyperlink ref="AH11" r:id="rId29" display="https://www.instagram.com/p/Dd85audNoC2/"/>
    <hyperlink ref="AM11" r:id="rId30" display="https://www.instagram.com/p/Dd85audNoC2/"/>
    <hyperlink ref="D12" r:id="rId31" display="https://www.instagram.com/candy.greyhound/"/>
    <hyperlink ref="AH12" r:id="rId32" display="https://www.instagram.com/p/Dct28DASFLp/"/>
    <hyperlink ref="AM12" r:id="rId33" display="https://www.instagram.com/p/Dd94Av3RhS0/"/>
    <hyperlink ref="D13" r:id="rId34" display="https://www.instagram.com/don.gorillo/"/>
    <hyperlink ref="AH13" r:id="rId35" display="https://www.instagram.com/p/Ddvayy5Otjf/"/>
    <hyperlink ref="AM13" r:id="rId36" display="https://www.instagram.com/p/Ddvayy5Otjf/"/>
    <hyperlink ref="D14" r:id="rId37" display="https://www.instagram.com/miltonbumford/"/>
    <hyperlink ref="AH14" r:id="rId38" display="https://www.instagram.com/p/Dd0ONAHuI9A/"/>
    <hyperlink ref="AM14" r:id="rId39" display="https://www.instagram.com/p/Dd8FTD8OSAo/"/>
    <hyperlink ref="D15" r:id="rId40" display="https://www.instagram.com/sickmanai/"/>
    <hyperlink ref="AH15" r:id="rId41" display="https://www.instagram.com/p/DeHe2fKTvjr/"/>
    <hyperlink ref="AM15" r:id="rId42" display="https://www.instagram.com/p/DeHpJF0tVOi/"/>
    <hyperlink ref="D16" r:id="rId43" display="https://www.instagram.com/ia.vacalha/"/>
    <hyperlink ref="AH16" r:id="rId44" display="https://www.instagram.com/p/DeK-uSCxbWx/"/>
    <hyperlink ref="AM16" r:id="rId45" display="https://www.instagram.com/p/DeK-uSCxbWx/"/>
    <hyperlink ref="D17" r:id="rId46" display="https://www.instagram.com/caramelinho.ia/"/>
    <hyperlink ref="AH17" r:id="rId47" display="https://www.instagram.com/p/DeCKb4JIGeG/"/>
    <hyperlink ref="AM17" r:id="rId48" display="https://www.instagram.com/p/DeCKb4JIGeG/"/>
    <hyperlink ref="D18" r:id="rId49" display="https://www.instagram.com/abu.yalla/"/>
    <hyperlink ref="AH18" r:id="rId50" display="https://www.instagram.com/p/Dd62X7dJbCD/"/>
    <hyperlink ref="AM18" r:id="rId51" display="https://www.instagram.com/p/Dd9YfOIRK85/"/>
    <hyperlink ref="D19" r:id="rId52" display="https://www.instagram.com/abdoul.cheqri/"/>
    <hyperlink ref="AH19" r:id="rId53" display="https://www.instagram.com/p/Dd9RXFtIbr1/"/>
    <hyperlink ref="AM19" r:id="rId54" display="https://www.instagram.com/p/Dd7IwUgMkba/"/>
    <hyperlink ref="D20" r:id="rId55" display="https://www.instagram.com/percival_ashcrofttt/"/>
    <hyperlink ref="AH20" r:id="rId56" display="https://www.instagram.com/p/Dd2EhVtx54d/"/>
    <hyperlink ref="AM20" r:id="rId57" display="https://www.instagram.com/p/Dd_1HzNoS-L/"/>
    <hyperlink ref="D21" r:id="rId58" display="https://www.instagram.com/edmond_lebon/"/>
    <hyperlink ref="AH21" r:id="rId59" display="https://www.instagram.com/p/Dd8LM0NscoW/"/>
    <hyperlink ref="AM21" r:id="rId60" display="https://www.instagram.com/p/Dd8LM0NscoW/"/>
    <hyperlink ref="D22" r:id="rId61" display="https://www.instagram.com/vuluzamal/"/>
    <hyperlink ref="AH22" r:id="rId62" display="https://www.instagram.com/p/Dd5VDDURAPn/"/>
    <hyperlink ref="AM22" r:id="rId63" display="https://www.instagram.com/p/Dd5VDDURAPn/"/>
    <hyperlink ref="D23" r:id="rId64" display="https://www.instagram.com/imranpoppadumb/"/>
    <hyperlink ref="AH23" r:id="rId65" display="https://www.instagram.com/p/Dd9pUvWDT_0/"/>
    <hyperlink ref="AM23" r:id="rId66" display="https://www.instagram.com/p/DeEGSC_AFXs/"/>
    <hyperlink ref="D24" r:id="rId67" display="https://www.instagram.com/tony_ravioliano/"/>
    <hyperlink ref="AH24" r:id="rId68" display="https://www.instagram.com/p/DeAQrgpT11j/"/>
    <hyperlink ref="AM24" r:id="rId69" display="https://www.instagram.com/p/Dd9rvZeTkeJ/"/>
    <hyperlink ref="D25" r:id="rId70" display="https://www.instagram.com/don_nuger/"/>
    <hyperlink ref="AH25" r:id="rId71" display="https://www.instagram.com/p/Dd-2uFShyCV/"/>
    <hyperlink ref="AM25" r:id="rId72" display="https://www.instagram.com/p/Dd-2uFShyCV/"/>
    <hyperlink ref="D26" r:id="rId73" display="https://www.instagram.com/mr._stretchy/"/>
    <hyperlink ref="AH26" r:id="rId74" display="https://www.instagram.com/p/DdW8lunNb70/"/>
    <hyperlink ref="AM26" r:id="rId75" display="https://www.instagram.com/p/DeAcjbDtnuT/"/>
    <hyperlink ref="D27" r:id="rId76" display="https://www.instagram.com/ms.stretchy/"/>
    <hyperlink ref="AH27" r:id="rId77" display="https://www.instagram.com/p/DdH9RnPNA_3/"/>
    <hyperlink ref="AM27" r:id="rId78" display="https://www.instagram.com/p/Dd1GEHzt04I/"/>
    <hyperlink ref="D28" r:id="rId79" display="https://www.instagram.com/pik.vik1/"/>
    <hyperlink ref="AH28" r:id="rId80" display="https://www.instagram.com/p/Dd6Anomgs5t/"/>
    <hyperlink ref="AM28" r:id="rId81" display="https://www.instagram.com/p/Dd6Anomgs5t/"/>
    <hyperlink ref="D29" r:id="rId82" display="https://www.instagram.com/lilmiquela/"/>
    <hyperlink ref="AH29" r:id="rId83" display="https://www.instagram.com/p/DXE1ordFGu-/"/>
    <hyperlink ref="AM29" r:id="rId84" display="https://www.instagram.com/p/DeKPiH-jtIG/"/>
    <hyperlink ref="D30" r:id="rId85" display="https://www.instagram.com/grannyspills/"/>
    <hyperlink ref="AH30" r:id="rId86" display="https://www.instagram.com/p/DL8o9HPtwf0/"/>
    <hyperlink ref="AM30" r:id="rId87" display="https://www.instagram.com/p/DeCz8Bniv7e/"/>
    <hyperlink ref="D31" r:id="rId88" display="https://www.instagram.com/auntieauroraa/"/>
    <hyperlink ref="AH31" r:id="rId89" display="https://www.instagram.com/p/DTYiD4qEtdU/"/>
    <hyperlink ref="AM31" r:id="rId90" display="https://www.instagram.com/p/DeKPxSGCo-D/"/>
    <hyperlink ref="D32" r:id="rId91" display="https://www.instagram.com/nobodysausage/"/>
    <hyperlink ref="AH32" r:id="rId92" display="https://www.instagram.com/p/DbI9CnVxzJs/"/>
    <hyperlink ref="AM32" r:id="rId93" display="https://www.instagram.com/p/Dd1aXmFs8kY/"/>
    <hyperlink ref="D33" r:id="rId94" display="https://www.instagram.com/fit_aitana/"/>
    <hyperlink ref="AH33" r:id="rId95" display="https://www.instagram.com/p/DeHf1OyIzas/"/>
    <hyperlink ref="AM33" r:id="rId96" display="https://www.instagram.com/p/DeHf1OyIzas/"/>
    <hyperlink ref="D34" r:id="rId97" display="https://www.instagram.com/imma.gram/"/>
    <hyperlink ref="AH34" r:id="rId98" display="https://www.instagram.com/p/DdjHD7akvR8/"/>
    <hyperlink ref="D35" r:id="rId99" display="https://www.instagram.com/miazelu/"/>
    <hyperlink ref="AH35" r:id="rId100" display="https://www.instagram.com/p/DceUOwhgqXK/"/>
    <hyperlink ref="AM35" r:id="rId101" display="https://www.instagram.com/p/Dd9JtnIC7AY/"/>
    <hyperlink ref="D36" r:id="rId102" display="https://www.instagram.com/kyraonig/"/>
    <hyperlink ref="AH36" r:id="rId103" display="https://www.instagram.com/p/DaftyHNP0qz/"/>
    <hyperlink ref="D37" r:id="rId104" display="https://www.instagram.com/shudu.gram/"/>
    <hyperlink ref="AH37" r:id="rId105" display="https://www.instagram.com/p/DV9MyM8iEAN/"/>
    <hyperlink ref="D38" r:id="rId106" display="https://www.instagram.com/bigfootvlog/"/>
    <hyperlink ref="AH38" r:id="rId107" display="https://www.instagram.com/p/DKSml-3A7rF/"/>
    <hyperlink ref="AM38" r:id="rId108" display="https://www.instagram.com/p/DePYw13A70F/"/>
    <hyperlink ref="D39" r:id="rId109" display="https://www.instagram.com/tillynorwood/"/>
    <hyperlink ref="AH39" r:id="rId110" display="https://www.instagram.com/p/DdbhN3RBgYT/"/>
    <hyperlink ref="AM39" r:id="rId111" display="https://www.instagram.com/p/Dd6p3TAx8W1/"/>
    <hyperlink ref="D40" r:id="rId112" display="https://www.instagram.com/dequavious_von/"/>
    <hyperlink ref="D41" r:id="rId113" display="https://www.instagram.com/jadeorlhabit_/"/>
    <hyperlink ref="D42" r:id="rId114" display="https://www.instagram.com/evildogi/"/>
    <hyperlink ref="D43" r:id="rId115" display="https://www.instagram.com/mr_twirlo/"/>
    <hyperlink ref="D44" r:id="rId116" display="https://www.instagram.com/keekoiman/"/>
    <hyperlink ref="D45" r:id="rId117" display="https://www.instagram.com/lutherlongford/"/>
    <hyperlink ref="D46" r:id="rId118" display="https://www.instagram.com/itsarchiepimm/"/>
    <hyperlink ref="D47" r:id="rId119" display="https://www.instagram.com/abdulbigote/"/>
    <hyperlink ref="D48" r:id="rId120" display="https://www.instagram.com/nigelbattofficial/"/>
    <hyperlink ref="D49" r:id="rId121" display="https://www.instagram.com/jeanphilanthrope.co/"/>
    <hyperlink ref="D50" r:id="rId122" display="https://www.instagram.com/brigitte_macaron_/"/>
    <hyperlink ref="D51" r:id="rId123" display="https://www.instagram.com/phil_john_jean/"/>
    <hyperlink ref="D52" r:id="rId124" display="https://www.instagram.com/noonoouri/"/>
    <hyperlink ref="D53" r:id="rId125" display="https://www.instagram.com/rozy.gram/"/>
    <hyperlink ref="D54" r:id="rId126" display="https://www.instagram.com/blawko22/"/>
    <hyperlink ref="D55" r:id="rId127" display="https://www.instagram.com/bermudaisbae/"/>
    <hyperlink ref="D56" r:id="rId128" display="https://www.instagram.com/lafeve7/"/>
    <hyperlink ref="D57" r:id="rId129" display="https://www.instagram.com/the_grandshow/"/>
    <hyperlink ref="D58" r:id="rId130" display="https://www.instagram.com/bunnychaosai/"/>
    <hyperlink ref="D59" r:id="rId131" display="https://www.instagram.com/general.shavin/"/>
    <hyperlink ref="D60" r:id="rId132" display="https://www.instagram.com/phantompaws.co/"/>
    <hyperlink ref="D61" r:id="rId133" display="https://www.instagram.com/marcel_philan/"/>
    <hyperlink ref="D62" r:id="rId134" display="https://www.instagram.com/knox_frost/"/>
    <hyperlink ref="D63" r:id="rId135" display="https://www.instagram.com/emily.pellegrini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6"/>
  <legacyDrawing r:id="rId13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15" min="9" style="0" width="9"/>
    <col collapsed="false" customWidth="true" hidden="false" outlineLevel="0" max="17" min="16" style="0" width="34"/>
  </cols>
  <sheetData>
    <row r="1" customFormat="false" ht="42" hidden="false" customHeight="true" outlineLevel="0" collapsed="false">
      <c r="A1" s="1" t="s">
        <v>896</v>
      </c>
      <c r="B1" s="1" t="s">
        <v>199</v>
      </c>
      <c r="C1" s="1" t="s">
        <v>200</v>
      </c>
      <c r="D1" s="1" t="s">
        <v>202</v>
      </c>
      <c r="E1" s="1" t="s">
        <v>897</v>
      </c>
      <c r="F1" s="1" t="s">
        <v>208</v>
      </c>
      <c r="G1" s="1" t="s">
        <v>221</v>
      </c>
      <c r="H1" s="1" t="s">
        <v>230</v>
      </c>
      <c r="I1" s="1" t="s">
        <v>207</v>
      </c>
      <c r="J1" s="1" t="s">
        <v>253</v>
      </c>
      <c r="K1" s="1" t="s">
        <v>254</v>
      </c>
      <c r="L1" s="1" t="s">
        <v>255</v>
      </c>
      <c r="M1" s="1" t="s">
        <v>256</v>
      </c>
      <c r="N1" s="1" t="s">
        <v>257</v>
      </c>
      <c r="O1" s="1" t="s">
        <v>258</v>
      </c>
      <c r="P1" s="1" t="s">
        <v>201</v>
      </c>
      <c r="Q1" s="1" t="s">
        <v>231</v>
      </c>
    </row>
    <row r="2" customFormat="false" ht="23.85" hidden="false" customHeight="false" outlineLevel="0" collapsed="false">
      <c r="A2" s="2" t="n">
        <v>1</v>
      </c>
      <c r="B2" s="6" t="str">
        <f aca="false">INDEX('ALL CANDIDATES'!$B$2:$B$63,MATCH(LARGE('ALL CANDIDATES'!$BT$2:$BT$63,$A2),'ALL CANDIDATES'!$BT$2:$BT$63,0))</f>
        <v>Nobody Sausage</v>
      </c>
      <c r="C2" s="6" t="str">
        <f aca="false">INDEX('ALL CANDIDATES'!$C$2:$C$63,MATCH(LARGE('ALL CANDIDATES'!$BT$2:$BT$63,$A2),'ALL CANDIDATES'!$BT$2:$BT$63,0))</f>
        <v>nobodysausage</v>
      </c>
      <c r="D2" s="6" t="str">
        <f aca="false">INDEX('ALL CANDIDATES'!$E$2:$E$63,MATCH(LARGE('ALL CANDIDATES'!$BT$2:$BT$63,$A2),'ALL CANDIDATES'!$BT$2:$BT$63,0))</f>
        <v>DISCOVERED</v>
      </c>
      <c r="E2" s="6" t="n">
        <f aca="false">INDEX('ALL CANDIDATES'!$BJ$2:$BJ$63,MATCH(LARGE('ALL CANDIDATES'!$BT$2:$BT$63,$A2),'ALL CANDIDATES'!$BT$2:$BT$63,0))</f>
        <v>78.7</v>
      </c>
      <c r="F2" s="19" t="n">
        <f aca="false">INDEX('ALL CANDIDATES'!$K$2:$K$63,MATCH(LARGE('ALL CANDIDATES'!$BT$2:$BT$63,$A2),'ALL CANDIDATES'!$BT$2:$BT$63,0))</f>
        <v>7346848</v>
      </c>
      <c r="G2" s="19" t="n">
        <f aca="false">INDEX('ALL CANDIDATES'!$X$2:$X$63,MATCH(LARGE('ALL CANDIDATES'!$BT$2:$BT$63,$A2),'ALL CANDIDATES'!$BT$2:$BT$63,0))</f>
        <v>99531</v>
      </c>
      <c r="H2" s="19" t="n">
        <f aca="false">INDEX('ALL CANDIDATES'!$AG$2:$AG$63,MATCH(LARGE('ALL CANDIDATES'!$BT$2:$BT$63,$A2),'ALL CANDIDATES'!$BT$2:$BT$63,0))</f>
        <v>565164</v>
      </c>
      <c r="I2" s="20" t="str">
        <f aca="false">INDEX('ALL CANDIDATES'!$J$2:$J$63,MATCH(LARGE('ALL CANDIDATES'!$BT$2:$BT$63,$A2),'ALL CANDIDATES'!$BT$2:$BT$63,0))</f>
        <v>Y</v>
      </c>
      <c r="J2" s="21" t="n">
        <f aca="false">INDEX('ALL CANDIDATES'!$BD$2:$BD$63,MATCH(LARGE('ALL CANDIDATES'!$BT$2:$BT$63,$A2),'ALL CANDIDATES'!$BT$2:$BT$63,0))</f>
        <v>0.966525263689006</v>
      </c>
      <c r="K2" s="21" t="n">
        <f aca="false">INDEX('ALL CANDIDATES'!$BE$2:$BE$63,MATCH(LARGE('ALL CANDIDATES'!$BT$2:$BT$63,$A2),'ALL CANDIDATES'!$BT$2:$BT$63,0))</f>
        <v>0.749489591875133</v>
      </c>
      <c r="L2" s="21" t="n">
        <f aca="false">INDEX('ALL CANDIDATES'!$BF$2:$BF$63,MATCH(LARGE('ALL CANDIDATES'!$BT$2:$BT$63,$A2),'ALL CANDIDATES'!$BT$2:$BT$63,0))</f>
        <v>0.688043622556654</v>
      </c>
      <c r="M2" s="21" t="n">
        <f aca="false">INDEX('ALL CANDIDATES'!$BG$2:$BG$63,MATCH(LARGE('ALL CANDIDATES'!$BT$2:$BT$63,$A2),'ALL CANDIDATES'!$BT$2:$BT$63,0))</f>
        <v>0.35</v>
      </c>
      <c r="N2" s="21" t="n">
        <f aca="false">INDEX('ALL CANDIDATES'!$BH$2:$BH$63,MATCH(LARGE('ALL CANDIDATES'!$BT$2:$BT$63,$A2),'ALL CANDIDATES'!$BT$2:$BT$63,0))</f>
        <v>0.74839552550423</v>
      </c>
      <c r="O2" s="21" t="n">
        <f aca="false">INDEX('ALL CANDIDATES'!$BI$2:$BI$63,MATCH(LARGE('ALL CANDIDATES'!$BT$2:$BT$63,$A2),'ALL CANDIDATES'!$BT$2:$BT$63,0))</f>
        <v>1</v>
      </c>
      <c r="P2" s="20" t="str">
        <f aca="false">INDEX('ALL CANDIDATES'!$D$2:$D$63,MATCH(LARGE('ALL CANDIDATES'!$BT$2:$BT$63,$A2),'ALL CANDIDATES'!$BT$2:$BT$63,0))</f>
        <v>https://www.instagram.com/nobodysausage/</v>
      </c>
      <c r="Q2" s="20" t="str">
        <f aca="false">INDEX('ALL CANDIDATES'!$AH$2:$AH$63,MATCH(LARGE('ALL CANDIDATES'!$BT$2:$BT$63,$A2),'ALL CANDIDATES'!$BT$2:$BT$63,0))</f>
        <v>https://www.instagram.com/p/DbI9CnVxzJs/</v>
      </c>
    </row>
    <row r="3" customFormat="false" ht="23.85" hidden="false" customHeight="false" outlineLevel="0" collapsed="false">
      <c r="A3" s="2" t="n">
        <v>2</v>
      </c>
      <c r="B3" s="6" t="str">
        <f aca="false">INDEX('ALL CANDIDATES'!$B$2:$B$63,MATCH(LARGE('ALL CANDIDATES'!$BT$2:$BT$63,$A3),'ALL CANDIDATES'!$BT$2:$BT$63,0))</f>
        <v>Granny Spills</v>
      </c>
      <c r="C3" s="6" t="str">
        <f aca="false">INDEX('ALL CANDIDATES'!$C$2:$C$63,MATCH(LARGE('ALL CANDIDATES'!$BT$2:$BT$63,$A3),'ALL CANDIDATES'!$BT$2:$BT$63,0))</f>
        <v>grannyspills</v>
      </c>
      <c r="D3" s="6" t="str">
        <f aca="false">INDEX('ALL CANDIDATES'!$E$2:$E$63,MATCH(LARGE('ALL CANDIDATES'!$BT$2:$BT$63,$A3),'ALL CANDIDATES'!$BT$2:$BT$63,0))</f>
        <v>DISCOVERED</v>
      </c>
      <c r="E3" s="6" t="n">
        <f aca="false">INDEX('ALL CANDIDATES'!$BJ$2:$BJ$63,MATCH(LARGE('ALL CANDIDATES'!$BT$2:$BT$63,$A3),'ALL CANDIDATES'!$BT$2:$BT$63,0))</f>
        <v>76.8</v>
      </c>
      <c r="F3" s="19" t="n">
        <f aca="false">INDEX('ALL CANDIDATES'!$K$2:$K$63,MATCH(LARGE('ALL CANDIDATES'!$BT$2:$BT$63,$A3),'ALL CANDIDATES'!$BT$2:$BT$63,0))</f>
        <v>2170103</v>
      </c>
      <c r="G3" s="19" t="n">
        <f aca="false">INDEX('ALL CANDIDATES'!$X$2:$X$63,MATCH(LARGE('ALL CANDIDATES'!$BT$2:$BT$63,$A3),'ALL CANDIDATES'!$BT$2:$BT$63,0))</f>
        <v>12268</v>
      </c>
      <c r="H3" s="19" t="n">
        <f aca="false">INDEX('ALL CANDIDATES'!$AG$2:$AG$63,MATCH(LARGE('ALL CANDIDATES'!$BT$2:$BT$63,$A3),'ALL CANDIDATES'!$BT$2:$BT$63,0))</f>
        <v>1027957</v>
      </c>
      <c r="I3" s="20" t="str">
        <f aca="false">INDEX('ALL CANDIDATES'!$J$2:$J$63,MATCH(LARGE('ALL CANDIDATES'!$BT$2:$BT$63,$A3),'ALL CANDIDATES'!$BT$2:$BT$63,0))</f>
        <v>Y</v>
      </c>
      <c r="J3" s="21" t="n">
        <f aca="false">INDEX('ALL CANDIDATES'!$BD$2:$BD$63,MATCH(LARGE('ALL CANDIDATES'!$BT$2:$BT$63,$A3),'ALL CANDIDATES'!$BT$2:$BT$63,0))</f>
        <v>0.834120086834258</v>
      </c>
      <c r="K3" s="21" t="n">
        <f aca="false">INDEX('ALL CANDIDATES'!$BE$2:$BE$63,MATCH(LARGE('ALL CANDIDATES'!$BT$2:$BT$63,$A3),'ALL CANDIDATES'!$BT$2:$BT$63,0))</f>
        <v>0.522193441827612</v>
      </c>
      <c r="L3" s="21" t="n">
        <f aca="false">INDEX('ALL CANDIDATES'!$BF$2:$BF$63,MATCH(LARGE('ALL CANDIDATES'!$BT$2:$BT$63,$A3),'ALL CANDIDATES'!$BT$2:$BT$63,0))</f>
        <v>0.752993737066249</v>
      </c>
      <c r="M3" s="21" t="n">
        <f aca="false">INDEX('ALL CANDIDATES'!$BG$2:$BG$63,MATCH(LARGE('ALL CANDIDATES'!$BT$2:$BT$63,$A3),'ALL CANDIDATES'!$BT$2:$BT$63,0))</f>
        <v>1</v>
      </c>
      <c r="N3" s="21" t="n">
        <f aca="false">INDEX('ALL CANDIDATES'!$BH$2:$BH$63,MATCH(LARGE('ALL CANDIDATES'!$BT$2:$BT$63,$A3),'ALL CANDIDATES'!$BT$2:$BT$63,0))</f>
        <v>0.623287671232877</v>
      </c>
      <c r="O3" s="21" t="n">
        <f aca="false">INDEX('ALL CANDIDATES'!$BI$2:$BI$63,MATCH(LARGE('ALL CANDIDATES'!$BT$2:$BT$63,$A3),'ALL CANDIDATES'!$BT$2:$BT$63,0))</f>
        <v>1</v>
      </c>
      <c r="P3" s="20" t="str">
        <f aca="false">INDEX('ALL CANDIDATES'!$D$2:$D$63,MATCH(LARGE('ALL CANDIDATES'!$BT$2:$BT$63,$A3),'ALL CANDIDATES'!$BT$2:$BT$63,0))</f>
        <v>https://www.instagram.com/grannyspills/</v>
      </c>
      <c r="Q3" s="20" t="str">
        <f aca="false">INDEX('ALL CANDIDATES'!$AH$2:$AH$63,MATCH(LARGE('ALL CANDIDATES'!$BT$2:$BT$63,$A3),'ALL CANDIDATES'!$BT$2:$BT$63,0))</f>
        <v>https://www.instagram.com/p/DL8o9HPtwf0/</v>
      </c>
    </row>
    <row r="4" customFormat="false" ht="23.85" hidden="false" customHeight="false" outlineLevel="0" collapsed="false">
      <c r="A4" s="2" t="n">
        <v>3</v>
      </c>
      <c r="B4" s="6" t="str">
        <f aca="false">INDEX('ALL CANDIDATES'!$B$2:$B$63,MATCH(LARGE('ALL CANDIDATES'!$BT$2:$BT$63,$A4),'ALL CANDIDATES'!$BT$2:$BT$63,0))</f>
        <v>Derek Mercer</v>
      </c>
      <c r="C4" s="6" t="str">
        <f aca="false">INDEX('ALL CANDIDATES'!$C$2:$C$63,MATCH(LARGE('ALL CANDIDATES'!$BT$2:$BT$63,$A4),'ALL CANDIDATES'!$BT$2:$BT$63,0))</f>
        <v>derek.mercer.2006</v>
      </c>
      <c r="D4" s="6" t="str">
        <f aca="false">INDEX('ALL CANDIDATES'!$E$2:$E$63,MATCH(LARGE('ALL CANDIDATES'!$BT$2:$BT$63,$A4),'ALL CANDIDATES'!$BT$2:$BT$63,0))</f>
        <v>DISCOVERED</v>
      </c>
      <c r="E4" s="6" t="n">
        <f aca="false">INDEX('ALL CANDIDATES'!$BJ$2:$BJ$63,MATCH(LARGE('ALL CANDIDATES'!$BT$2:$BT$63,$A4),'ALL CANDIDATES'!$BT$2:$BT$63,0))</f>
        <v>69.4</v>
      </c>
      <c r="F4" s="19" t="n">
        <f aca="false">INDEX('ALL CANDIDATES'!$K$2:$K$63,MATCH(LARGE('ALL CANDIDATES'!$BT$2:$BT$63,$A4),'ALL CANDIDATES'!$BT$2:$BT$63,0))</f>
        <v>63330</v>
      </c>
      <c r="G4" s="19" t="n">
        <f aca="false">INDEX('ALL CANDIDATES'!$X$2:$X$63,MATCH(LARGE('ALL CANDIDATES'!$BT$2:$BT$63,$A4),'ALL CANDIDATES'!$BT$2:$BT$63,0))</f>
        <v>349345</v>
      </c>
      <c r="H4" s="19" t="n">
        <f aca="false">INDEX('ALL CANDIDATES'!$AG$2:$AG$63,MATCH(LARGE('ALL CANDIDATES'!$BT$2:$BT$63,$A4),'ALL CANDIDATES'!$BT$2:$BT$63,0))</f>
        <v>3150423</v>
      </c>
      <c r="I4" s="20" t="str">
        <f aca="false">INDEX('ALL CANDIDATES'!$J$2:$J$63,MATCH(LARGE('ALL CANDIDATES'!$BT$2:$BT$63,$A4),'ALL CANDIDATES'!$BT$2:$BT$63,0))</f>
        <v>Y</v>
      </c>
      <c r="J4" s="21" t="n">
        <f aca="false">INDEX('ALL CANDIDATES'!$BD$2:$BD$63,MATCH(LARGE('ALL CANDIDATES'!$BT$2:$BT$63,$A4),'ALL CANDIDATES'!$BT$2:$BT$63,0))</f>
        <v>0.45040237200683</v>
      </c>
      <c r="K4" s="21" t="n">
        <f aca="false">INDEX('ALL CANDIDATES'!$BE$2:$BE$63,MATCH(LARGE('ALL CANDIDATES'!$BT$2:$BT$63,$A4),'ALL CANDIDATES'!$BT$2:$BT$63,0))</f>
        <v>0.885813632948865</v>
      </c>
      <c r="L4" s="21" t="n">
        <f aca="false">INDEX('ALL CANDIDATES'!$BF$2:$BF$63,MATCH(LARGE('ALL CANDIDATES'!$BT$2:$BT$63,$A4),'ALL CANDIDATES'!$BT$2:$BT$63,0))</f>
        <v>0.874592217354731</v>
      </c>
      <c r="M4" s="21" t="n">
        <f aca="false">INDEX('ALL CANDIDATES'!$BG$2:$BG$63,MATCH(LARGE('ALL CANDIDATES'!$BT$2:$BT$63,$A4),'ALL CANDIDATES'!$BT$2:$BT$63,0))</f>
        <v>1</v>
      </c>
      <c r="N4" s="21" t="n">
        <f aca="false">INDEX('ALL CANDIDATES'!$BH$2:$BH$63,MATCH(LARGE('ALL CANDIDATES'!$BT$2:$BT$63,$A4),'ALL CANDIDATES'!$BT$2:$BT$63,0))</f>
        <v>0.190848501887865</v>
      </c>
      <c r="O4" s="21" t="n">
        <f aca="false">INDEX('ALL CANDIDATES'!$BI$2:$BI$63,MATCH(LARGE('ALL CANDIDATES'!$BT$2:$BT$63,$A4),'ALL CANDIDATES'!$BT$2:$BT$63,0))</f>
        <v>0.88</v>
      </c>
      <c r="P4" s="20" t="str">
        <f aca="false">INDEX('ALL CANDIDATES'!$D$2:$D$63,MATCH(LARGE('ALL CANDIDATES'!$BT$2:$BT$63,$A4),'ALL CANDIDATES'!$BT$2:$BT$63,0))</f>
        <v>https://www.instagram.com/derek.mercer.2006/</v>
      </c>
      <c r="Q4" s="20" t="str">
        <f aca="false">INDEX('ALL CANDIDATES'!$AH$2:$AH$63,MATCH(LARGE('ALL CANDIDATES'!$BT$2:$BT$63,$A4),'ALL CANDIDATES'!$BT$2:$BT$63,0))</f>
        <v>https://www.instagram.com/p/Dd1y2m2sMRB/</v>
      </c>
    </row>
    <row r="5" customFormat="false" ht="23.85" hidden="false" customHeight="false" outlineLevel="0" collapsed="false">
      <c r="A5" s="2" t="n">
        <v>4</v>
      </c>
      <c r="B5" s="6" t="str">
        <f aca="false">INDEX('ALL CANDIDATES'!$B$2:$B$63,MATCH(LARGE('ALL CANDIDATES'!$BT$2:$BT$63,$A5),'ALL CANDIDATES'!$BT$2:$BT$63,0))</f>
        <v>Mr. Stretchy</v>
      </c>
      <c r="C5" s="6" t="str">
        <f aca="false">INDEX('ALL CANDIDATES'!$C$2:$C$63,MATCH(LARGE('ALL CANDIDATES'!$BT$2:$BT$63,$A5),'ALL CANDIDATES'!$BT$2:$BT$63,0))</f>
        <v>mr._stretchy</v>
      </c>
      <c r="D5" s="6" t="str">
        <f aca="false">INDEX('ALL CANDIDATES'!$E$2:$E$63,MATCH(LARGE('ALL CANDIDATES'!$BT$2:$BT$63,$A5),'ALL CANDIDATES'!$BT$2:$BT$63,0))</f>
        <v>DISCOVERED</v>
      </c>
      <c r="E5" s="6" t="n">
        <f aca="false">INDEX('ALL CANDIDATES'!$BJ$2:$BJ$63,MATCH(LARGE('ALL CANDIDATES'!$BT$2:$BT$63,$A5),'ALL CANDIDATES'!$BT$2:$BT$63,0))</f>
        <v>67.3</v>
      </c>
      <c r="F5" s="19" t="n">
        <f aca="false">INDEX('ALL CANDIDATES'!$K$2:$K$63,MATCH(LARGE('ALL CANDIDATES'!$BT$2:$BT$63,$A5),'ALL CANDIDATES'!$BT$2:$BT$63,0))</f>
        <v>965161</v>
      </c>
      <c r="G5" s="19" t="n">
        <f aca="false">INDEX('ALL CANDIDATES'!$X$2:$X$63,MATCH(LARGE('ALL CANDIDATES'!$BT$2:$BT$63,$A5),'ALL CANDIDATES'!$BT$2:$BT$63,0))</f>
        <v>60268</v>
      </c>
      <c r="H5" s="19" t="n">
        <f aca="false">INDEX('ALL CANDIDATES'!$AG$2:$AG$63,MATCH(LARGE('ALL CANDIDATES'!$BT$2:$BT$63,$A5),'ALL CANDIDATES'!$BT$2:$BT$63,0))</f>
        <v>502072</v>
      </c>
      <c r="I5" s="20" t="str">
        <f aca="false">INDEX('ALL CANDIDATES'!$J$2:$J$63,MATCH(LARGE('ALL CANDIDATES'!$BT$2:$BT$63,$A5),'ALL CANDIDATES'!$BT$2:$BT$63,0))</f>
        <v>N</v>
      </c>
      <c r="J5" s="21" t="n">
        <f aca="false">INDEX('ALL CANDIDATES'!$BD$2:$BD$63,MATCH(LARGE('ALL CANDIDATES'!$BT$2:$BT$63,$A5),'ALL CANDIDATES'!$BT$2:$BT$63,0))</f>
        <v>0.746149941180356</v>
      </c>
      <c r="K5" s="21" t="n">
        <f aca="false">INDEX('ALL CANDIDATES'!$BE$2:$BE$63,MATCH(LARGE('ALL CANDIDATES'!$BT$2:$BT$63,$A5),'ALL CANDIDATES'!$BT$2:$BT$63,0))</f>
        <v>0.695021694899599</v>
      </c>
      <c r="L5" s="21" t="n">
        <f aca="false">INDEX('ALL CANDIDATES'!$BF$2:$BF$63,MATCH(LARGE('ALL CANDIDATES'!$BT$2:$BT$63,$A5),'ALL CANDIDATES'!$BT$2:$BT$63,0))</f>
        <v>0.675191500481722</v>
      </c>
      <c r="M5" s="21" t="n">
        <f aca="false">INDEX('ALL CANDIDATES'!$BG$2:$BG$63,MATCH(LARGE('ALL CANDIDATES'!$BT$2:$BT$63,$A5),'ALL CANDIDATES'!$BT$2:$BT$63,0))</f>
        <v>1</v>
      </c>
      <c r="N5" s="21" t="n">
        <f aca="false">INDEX('ALL CANDIDATES'!$BH$2:$BH$63,MATCH(LARGE('ALL CANDIDATES'!$BT$2:$BT$63,$A5),'ALL CANDIDATES'!$BT$2:$BT$63,0))</f>
        <v>0.394708693706498</v>
      </c>
      <c r="O5" s="21" t="n">
        <f aca="false">INDEX('ALL CANDIDATES'!$BI$2:$BI$63,MATCH(LARGE('ALL CANDIDATES'!$BT$2:$BT$63,$A5),'ALL CANDIDATES'!$BT$2:$BT$63,0))</f>
        <v>0.36</v>
      </c>
      <c r="P5" s="20" t="str">
        <f aca="false">INDEX('ALL CANDIDATES'!$D$2:$D$63,MATCH(LARGE('ALL CANDIDATES'!$BT$2:$BT$63,$A5),'ALL CANDIDATES'!$BT$2:$BT$63,0))</f>
        <v>https://www.instagram.com/mr._stretchy/</v>
      </c>
      <c r="Q5" s="20" t="str">
        <f aca="false">INDEX('ALL CANDIDATES'!$AH$2:$AH$63,MATCH(LARGE('ALL CANDIDATES'!$BT$2:$BT$63,$A5),'ALL CANDIDATES'!$BT$2:$BT$63,0))</f>
        <v>https://www.instagram.com/p/DdW8lunNb70/</v>
      </c>
    </row>
    <row r="6" customFormat="false" ht="23.85" hidden="false" customHeight="false" outlineLevel="0" collapsed="false">
      <c r="A6" s="2" t="n">
        <v>5</v>
      </c>
      <c r="B6" s="6" t="str">
        <f aca="false">INDEX('ALL CANDIDATES'!$B$2:$B$63,MATCH(LARGE('ALL CANDIDATES'!$BT$2:$BT$63,$A6),'ALL CANDIDATES'!$BT$2:$BT$63,0))</f>
        <v>Abu Nutty</v>
      </c>
      <c r="C6" s="6" t="str">
        <f aca="false">INDEX('ALL CANDIDATES'!$C$2:$C$63,MATCH(LARGE('ALL CANDIDATES'!$BT$2:$BT$63,$A6),'ALL CANDIDATES'!$BT$2:$BT$63,0))</f>
        <v>abunuttyofficial</v>
      </c>
      <c r="D6" s="6" t="str">
        <f aca="false">INDEX('ALL CANDIDATES'!$E$2:$E$63,MATCH(LARGE('ALL CANDIDATES'!$BT$2:$BT$63,$A6),'ALL CANDIDATES'!$BT$2:$BT$63,0))</f>
        <v>DISCOVERED</v>
      </c>
      <c r="E6" s="6" t="n">
        <f aca="false">INDEX('ALL CANDIDATES'!$BJ$2:$BJ$63,MATCH(LARGE('ALL CANDIDATES'!$BT$2:$BT$63,$A6),'ALL CANDIDATES'!$BT$2:$BT$63,0))</f>
        <v>64.3</v>
      </c>
      <c r="F6" s="19" t="n">
        <f aca="false">INDEX('ALL CANDIDATES'!$K$2:$K$63,MATCH(LARGE('ALL CANDIDATES'!$BT$2:$BT$63,$A6),'ALL CANDIDATES'!$BT$2:$BT$63,0))</f>
        <v>127549</v>
      </c>
      <c r="G6" s="19" t="n">
        <f aca="false">INDEX('ALL CANDIDATES'!$X$2:$X$63,MATCH(LARGE('ALL CANDIDATES'!$BT$2:$BT$63,$A6),'ALL CANDIDATES'!$BT$2:$BT$63,0))</f>
        <v>43627</v>
      </c>
      <c r="H6" s="19" t="n">
        <f aca="false">INDEX('ALL CANDIDATES'!$AG$2:$AG$63,MATCH(LARGE('ALL CANDIDATES'!$BT$2:$BT$63,$A6),'ALL CANDIDATES'!$BT$2:$BT$63,0))</f>
        <v>672934</v>
      </c>
      <c r="I6" s="20" t="str">
        <f aca="false">INDEX('ALL CANDIDATES'!$J$2:$J$63,MATCH(LARGE('ALL CANDIDATES'!$BT$2:$BT$63,$A6),'ALL CANDIDATES'!$BT$2:$BT$63,0))</f>
        <v>Y</v>
      </c>
      <c r="J6" s="21" t="n">
        <f aca="false">INDEX('ALL CANDIDATES'!$BD$2:$BD$63,MATCH(LARGE('ALL CANDIDATES'!$BT$2:$BT$63,$A6),'ALL CANDIDATES'!$BT$2:$BT$63,0))</f>
        <v>0.526419264509121</v>
      </c>
      <c r="K6" s="21" t="n">
        <f aca="false">INDEX('ALL CANDIDATES'!$BE$2:$BE$63,MATCH(LARGE('ALL CANDIDATES'!$BT$2:$BT$63,$A6),'ALL CANDIDATES'!$BT$2:$BT$63,0))</f>
        <v>0.659938837464898</v>
      </c>
      <c r="L6" s="21" t="n">
        <f aca="false">INDEX('ALL CANDIDATES'!$BF$2:$BF$63,MATCH(LARGE('ALL CANDIDATES'!$BT$2:$BT$63,$A6),'ALL CANDIDATES'!$BT$2:$BT$63,0))</f>
        <v>0.706993117897976</v>
      </c>
      <c r="M6" s="21" t="n">
        <f aca="false">INDEX('ALL CANDIDATES'!$BG$2:$BG$63,MATCH(LARGE('ALL CANDIDATES'!$BT$2:$BT$63,$A6),'ALL CANDIDATES'!$BT$2:$BT$63,0))</f>
        <v>0.95</v>
      </c>
      <c r="N6" s="21" t="n">
        <f aca="false">INDEX('ALL CANDIDATES'!$BH$2:$BH$63,MATCH(LARGE('ALL CANDIDATES'!$BT$2:$BT$63,$A6),'ALL CANDIDATES'!$BT$2:$BT$63,0))</f>
        <v>0.28640133745392</v>
      </c>
      <c r="O6" s="21" t="n">
        <f aca="false">INDEX('ALL CANDIDATES'!$BI$2:$BI$63,MATCH(LARGE('ALL CANDIDATES'!$BT$2:$BT$63,$A6),'ALL CANDIDATES'!$BT$2:$BT$63,0))</f>
        <v>0.88</v>
      </c>
      <c r="P6" s="20" t="str">
        <f aca="false">INDEX('ALL CANDIDATES'!$D$2:$D$63,MATCH(LARGE('ALL CANDIDATES'!$BT$2:$BT$63,$A6),'ALL CANDIDATES'!$BT$2:$BT$63,0))</f>
        <v>https://www.instagram.com/abunuttyofficial/</v>
      </c>
      <c r="Q6" s="20" t="n">
        <f aca="false">INDEX('ALL CANDIDATES'!$AH$2:$AH$63,MATCH(LARGE('ALL CANDIDATES'!$BT$2:$BT$63,$A6),'ALL CANDIDATES'!$BT$2:$BT$63,0))</f>
        <v>0</v>
      </c>
    </row>
    <row r="7" customFormat="false" ht="23.85" hidden="false" customHeight="false" outlineLevel="0" collapsed="false">
      <c r="A7" s="2" t="n">
        <v>6</v>
      </c>
      <c r="B7" s="6" t="str">
        <f aca="false">INDEX('ALL CANDIDATES'!$B$2:$B$63,MATCH(LARGE('ALL CANDIDATES'!$BT$2:$BT$63,$A7),'ALL CANDIDATES'!$BT$2:$BT$63,0))</f>
        <v>Jean Phil</v>
      </c>
      <c r="C7" s="6" t="str">
        <f aca="false">INDEX('ALL CANDIDATES'!$C$2:$C$63,MATCH(LARGE('ALL CANDIDATES'!$BT$2:$BT$63,$A7),'ALL CANDIDATES'!$BT$2:$BT$63,0))</f>
        <v>jean_philanthrope</v>
      </c>
      <c r="D7" s="6" t="str">
        <f aca="false">INDEX('ALL CANDIDATES'!$E$2:$E$63,MATCH(LARGE('ALL CANDIDATES'!$BT$2:$BT$63,$A7),'ALL CANDIDATES'!$BT$2:$BT$63,0))</f>
        <v>SEED</v>
      </c>
      <c r="E7" s="6" t="n">
        <f aca="false">INDEX('ALL CANDIDATES'!$BJ$2:$BJ$63,MATCH(LARGE('ALL CANDIDATES'!$BT$2:$BT$63,$A7),'ALL CANDIDATES'!$BT$2:$BT$63,0))</f>
        <v>63.7</v>
      </c>
      <c r="F7" s="19" t="n">
        <f aca="false">INDEX('ALL CANDIDATES'!$K$2:$K$63,MATCH(LARGE('ALL CANDIDATES'!$BT$2:$BT$63,$A7),'ALL CANDIDATES'!$BT$2:$BT$63,0))</f>
        <v>241147</v>
      </c>
      <c r="G7" s="19" t="n">
        <f aca="false">INDEX('ALL CANDIDATES'!$X$2:$X$63,MATCH(LARGE('ALL CANDIDATES'!$BT$2:$BT$63,$A7),'ALL CANDIDATES'!$BT$2:$BT$63,0))</f>
        <v>297994</v>
      </c>
      <c r="H7" s="19" t="n">
        <f aca="false">INDEX('ALL CANDIDATES'!$AG$2:$AG$63,MATCH(LARGE('ALL CANDIDATES'!$BT$2:$BT$63,$A7),'ALL CANDIDATES'!$BT$2:$BT$63,0))</f>
        <v>1708185</v>
      </c>
      <c r="I7" s="20" t="str">
        <f aca="false">INDEX('ALL CANDIDATES'!$J$2:$J$63,MATCH(LARGE('ALL CANDIDATES'!$BT$2:$BT$63,$A7),'ALL CANDIDATES'!$BT$2:$BT$63,0))</f>
        <v>N</v>
      </c>
      <c r="J7" s="21" t="n">
        <f aca="false">INDEX('ALL CANDIDATES'!$BD$2:$BD$63,MATCH(LARGE('ALL CANDIDATES'!$BT$2:$BT$63,$A7),'ALL CANDIDATES'!$BT$2:$BT$63,0))</f>
        <v>0.595570465857913</v>
      </c>
      <c r="K7" s="21" t="n">
        <f aca="false">INDEX('ALL CANDIDATES'!$BE$2:$BE$63,MATCH(LARGE('ALL CANDIDATES'!$BT$2:$BT$63,$A7),'ALL CANDIDATES'!$BT$2:$BT$63,0))</f>
        <v>0.868551879951007</v>
      </c>
      <c r="L7" s="21" t="n">
        <f aca="false">INDEX('ALL CANDIDATES'!$BF$2:$BF$63,MATCH(LARGE('ALL CANDIDATES'!$BT$2:$BT$63,$A7),'ALL CANDIDATES'!$BT$2:$BT$63,0))</f>
        <v>0.808133725974701</v>
      </c>
      <c r="M7" s="21" t="n">
        <f aca="false">INDEX('ALL CANDIDATES'!$BG$2:$BG$63,MATCH(LARGE('ALL CANDIDATES'!$BT$2:$BT$63,$A7),'ALL CANDIDATES'!$BT$2:$BT$63,0))</f>
        <v>0.6</v>
      </c>
      <c r="N7" s="21" t="n">
        <f aca="false">INDEX('ALL CANDIDATES'!$BH$2:$BH$63,MATCH(LARGE('ALL CANDIDATES'!$BT$2:$BT$63,$A7),'ALL CANDIDATES'!$BT$2:$BT$63,0))</f>
        <v>0.03167249841905</v>
      </c>
      <c r="O7" s="21" t="n">
        <f aca="false">INDEX('ALL CANDIDATES'!$BI$2:$BI$63,MATCH(LARGE('ALL CANDIDATES'!$BT$2:$BT$63,$A7),'ALL CANDIDATES'!$BT$2:$BT$63,0))</f>
        <v>0.6</v>
      </c>
      <c r="P7" s="20" t="str">
        <f aca="false">INDEX('ALL CANDIDATES'!$D$2:$D$63,MATCH(LARGE('ALL CANDIDATES'!$BT$2:$BT$63,$A7),'ALL CANDIDATES'!$BT$2:$BT$63,0))</f>
        <v>https://www.instagram.com/jean_philanthrope/</v>
      </c>
      <c r="Q7" s="20" t="str">
        <f aca="false">INDEX('ALL CANDIDATES'!$AH$2:$AH$63,MATCH(LARGE('ALL CANDIDATES'!$BT$2:$BT$63,$A7),'ALL CANDIDATES'!$BT$2:$BT$63,0))</f>
        <v>https://www.instagram.com/p/Ddb0QUyqnhG/</v>
      </c>
    </row>
    <row r="8" customFormat="false" ht="23.85" hidden="false" customHeight="false" outlineLevel="0" collapsed="false">
      <c r="A8" s="2" t="n">
        <v>7</v>
      </c>
      <c r="B8" s="6" t="str">
        <f aca="false">INDEX('ALL CANDIDATES'!$B$2:$B$63,MATCH(LARGE('ALL CANDIDATES'!$BT$2:$BT$63,$A8),'ALL CANDIDATES'!$BT$2:$BT$63,0))</f>
        <v>Casper the Italian Greyhound</v>
      </c>
      <c r="C8" s="6" t="str">
        <f aca="false">INDEX('ALL CANDIDATES'!$C$2:$C$63,MATCH(LARGE('ALL CANDIDATES'!$BT$2:$BT$63,$A8),'ALL CANDIDATES'!$BT$2:$BT$63,0))</f>
        <v>casper.iggy</v>
      </c>
      <c r="D8" s="6" t="str">
        <f aca="false">INDEX('ALL CANDIDATES'!$E$2:$E$63,MATCH(LARGE('ALL CANDIDATES'!$BT$2:$BT$63,$A8),'ALL CANDIDATES'!$BT$2:$BT$63,0))</f>
        <v>DISCOVERED</v>
      </c>
      <c r="E8" s="6" t="n">
        <f aca="false">INDEX('ALL CANDIDATES'!$BJ$2:$BJ$63,MATCH(LARGE('ALL CANDIDATES'!$BT$2:$BT$63,$A8),'ALL CANDIDATES'!$BT$2:$BT$63,0))</f>
        <v>63.3</v>
      </c>
      <c r="F8" s="19" t="n">
        <f aca="false">INDEX('ALL CANDIDATES'!$K$2:$K$63,MATCH(LARGE('ALL CANDIDATES'!$BT$2:$BT$63,$A8),'ALL CANDIDATES'!$BT$2:$BT$63,0))</f>
        <v>194460</v>
      </c>
      <c r="G8" s="19" t="n">
        <f aca="false">INDEX('ALL CANDIDATES'!$X$2:$X$63,MATCH(LARGE('ALL CANDIDATES'!$BT$2:$BT$63,$A8),'ALL CANDIDATES'!$BT$2:$BT$63,0))</f>
        <v>135030</v>
      </c>
      <c r="H8" s="19" t="n">
        <f aca="false">INDEX('ALL CANDIDATES'!$AG$2:$AG$63,MATCH(LARGE('ALL CANDIDATES'!$BT$2:$BT$63,$A8),'ALL CANDIDATES'!$BT$2:$BT$63,0))</f>
        <v>527299</v>
      </c>
      <c r="I8" s="20" t="str">
        <f aca="false">INDEX('ALL CANDIDATES'!$J$2:$J$63,MATCH(LARGE('ALL CANDIDATES'!$BT$2:$BT$63,$A8),'ALL CANDIDATES'!$BT$2:$BT$63,0))</f>
        <v>N</v>
      </c>
      <c r="J8" s="21" t="n">
        <f aca="false">INDEX('ALL CANDIDATES'!$BD$2:$BD$63,MATCH(LARGE('ALL CANDIDATES'!$BT$2:$BT$63,$A8),'ALL CANDIDATES'!$BT$2:$BT$63,0))</f>
        <v>0.572207570353963</v>
      </c>
      <c r="K8" s="21" t="n">
        <f aca="false">INDEX('ALL CANDIDATES'!$BE$2:$BE$63,MATCH(LARGE('ALL CANDIDATES'!$BT$2:$BT$63,$A8),'ALL CANDIDATES'!$BT$2:$BT$63,0))</f>
        <v>0.782607566914535</v>
      </c>
      <c r="L8" s="21" t="n">
        <f aca="false">INDEX('ALL CANDIDATES'!$BF$2:$BF$63,MATCH(LARGE('ALL CANDIDATES'!$BT$2:$BT$63,$A8),'ALL CANDIDATES'!$BT$2:$BT$63,0))</f>
        <v>0.680514236927834</v>
      </c>
      <c r="M8" s="21" t="n">
        <f aca="false">INDEX('ALL CANDIDATES'!$BG$2:$BG$63,MATCH(LARGE('ALL CANDIDATES'!$BT$2:$BT$63,$A8),'ALL CANDIDATES'!$BT$2:$BT$63,0))</f>
        <v>1</v>
      </c>
      <c r="N8" s="21" t="n">
        <f aca="false">INDEX('ALL CANDIDATES'!$BH$2:$BH$63,MATCH(LARGE('ALL CANDIDATES'!$BT$2:$BT$63,$A8),'ALL CANDIDATES'!$BT$2:$BT$63,0))</f>
        <v>0.327817574216748</v>
      </c>
      <c r="O8" s="21" t="n">
        <f aca="false">INDEX('ALL CANDIDATES'!$BI$2:$BI$63,MATCH(LARGE('ALL CANDIDATES'!$BT$2:$BT$63,$A8),'ALL CANDIDATES'!$BT$2:$BT$63,0))</f>
        <v>0.36</v>
      </c>
      <c r="P8" s="20" t="str">
        <f aca="false">INDEX('ALL CANDIDATES'!$D$2:$D$63,MATCH(LARGE('ALL CANDIDATES'!$BT$2:$BT$63,$A8),'ALL CANDIDATES'!$BT$2:$BT$63,0))</f>
        <v>https://www.instagram.com/casper.iggy/</v>
      </c>
      <c r="Q8" s="20" t="str">
        <f aca="false">INDEX('ALL CANDIDATES'!$AH$2:$AH$63,MATCH(LARGE('ALL CANDIDATES'!$BT$2:$BT$63,$A8),'ALL CANDIDATES'!$BT$2:$BT$63,0))</f>
        <v>https://www.instagram.com/p/Dd85audNoC2/</v>
      </c>
    </row>
    <row r="9" customFormat="false" ht="23.85" hidden="false" customHeight="false" outlineLevel="0" collapsed="false">
      <c r="A9" s="2" t="n">
        <v>8</v>
      </c>
      <c r="B9" s="6" t="str">
        <f aca="false">INDEX('ALL CANDIDATES'!$B$2:$B$63,MATCH(LARGE('ALL CANDIDATES'!$BT$2:$BT$63,$A9),'ALL CANDIDATES'!$BT$2:$BT$63,0))</f>
        <v>Abu Shalab</v>
      </c>
      <c r="C9" s="6" t="str">
        <f aca="false">INDEX('ALL CANDIDATES'!$C$2:$C$63,MATCH(LARGE('ALL CANDIDATES'!$BT$2:$BT$63,$A9),'ALL CANDIDATES'!$BT$2:$BT$63,0))</f>
        <v>abu.shalab</v>
      </c>
      <c r="D9" s="6" t="str">
        <f aca="false">INDEX('ALL CANDIDATES'!$E$2:$E$63,MATCH(LARGE('ALL CANDIDATES'!$BT$2:$BT$63,$A9),'ALL CANDIDATES'!$BT$2:$BT$63,0))</f>
        <v>SEED</v>
      </c>
      <c r="E9" s="6" t="n">
        <f aca="false">INDEX('ALL CANDIDATES'!$BJ$2:$BJ$63,MATCH(LARGE('ALL CANDIDATES'!$BT$2:$BT$63,$A9),'ALL CANDIDATES'!$BT$2:$BT$63,0))</f>
        <v>63.2</v>
      </c>
      <c r="F9" s="19" t="n">
        <f aca="false">INDEX('ALL CANDIDATES'!$K$2:$K$63,MATCH(LARGE('ALL CANDIDATES'!$BT$2:$BT$63,$A9),'ALL CANDIDATES'!$BT$2:$BT$63,0))</f>
        <v>531003</v>
      </c>
      <c r="G9" s="19" t="n">
        <f aca="false">INDEX('ALL CANDIDATES'!$X$2:$X$63,MATCH(LARGE('ALL CANDIDATES'!$BT$2:$BT$63,$A9),'ALL CANDIDATES'!$BT$2:$BT$63,0))</f>
        <v>22069</v>
      </c>
      <c r="H9" s="19" t="n">
        <f aca="false">INDEX('ALL CANDIDATES'!$AG$2:$AG$63,MATCH(LARGE('ALL CANDIDATES'!$BT$2:$BT$63,$A9),'ALL CANDIDATES'!$BT$2:$BT$63,0))</f>
        <v>1392520</v>
      </c>
      <c r="I9" s="20" t="str">
        <f aca="false">INDEX('ALL CANDIDATES'!$J$2:$J$63,MATCH(LARGE('ALL CANDIDATES'!$BT$2:$BT$63,$A9),'ALL CANDIDATES'!$BT$2:$BT$63,0))</f>
        <v>N</v>
      </c>
      <c r="J9" s="21" t="n">
        <f aca="false">INDEX('ALL CANDIDATES'!$BD$2:$BD$63,MATCH(LARGE('ALL CANDIDATES'!$BT$2:$BT$63,$A9),'ALL CANDIDATES'!$BT$2:$BT$63,0))</f>
        <v>0.68127424367892</v>
      </c>
      <c r="K9" s="21" t="n">
        <f aca="false">INDEX('ALL CANDIDATES'!$BE$2:$BE$63,MATCH(LARGE('ALL CANDIDATES'!$BT$2:$BT$63,$A9),'ALL CANDIDATES'!$BT$2:$BT$63,0))</f>
        <v>0.585945663667382</v>
      </c>
      <c r="L9" s="21" t="n">
        <f aca="false">INDEX('ALL CANDIDATES'!$BF$2:$BF$63,MATCH(LARGE('ALL CANDIDATES'!$BT$2:$BT$63,$A9),'ALL CANDIDATES'!$BT$2:$BT$63,0))</f>
        <v>0.785950360355923</v>
      </c>
      <c r="M9" s="21" t="n">
        <f aca="false">INDEX('ALL CANDIDATES'!$BG$2:$BG$63,MATCH(LARGE('ALL CANDIDATES'!$BT$2:$BT$63,$A9),'ALL CANDIDATES'!$BT$2:$BT$63,0))</f>
        <v>1</v>
      </c>
      <c r="N9" s="21" t="n">
        <f aca="false">INDEX('ALL CANDIDATES'!$BH$2:$BH$63,MATCH(LARGE('ALL CANDIDATES'!$BT$2:$BT$63,$A9),'ALL CANDIDATES'!$BT$2:$BT$63,0))</f>
        <v>0.172545505663595</v>
      </c>
      <c r="O9" s="21" t="n">
        <f aca="false">INDEX('ALL CANDIDATES'!$BI$2:$BI$63,MATCH(LARGE('ALL CANDIDATES'!$BT$2:$BT$63,$A9),'ALL CANDIDATES'!$BT$2:$BT$63,0))</f>
        <v>0.36</v>
      </c>
      <c r="P9" s="20" t="str">
        <f aca="false">INDEX('ALL CANDIDATES'!$D$2:$D$63,MATCH(LARGE('ALL CANDIDATES'!$BT$2:$BT$63,$A9),'ALL CANDIDATES'!$BT$2:$BT$63,0))</f>
        <v>https://www.instagram.com/abu.shalab/</v>
      </c>
      <c r="Q9" s="20" t="str">
        <f aca="false">INDEX('ALL CANDIDATES'!$AH$2:$AH$63,MATCH(LARGE('ALL CANDIDATES'!$BT$2:$BT$63,$A9),'ALL CANDIDATES'!$BT$2:$BT$63,0))</f>
        <v>https://www.instagram.com/p/Dduf1zGNri-/</v>
      </c>
    </row>
    <row r="10" customFormat="false" ht="23.85" hidden="false" customHeight="false" outlineLevel="0" collapsed="false">
      <c r="A10" s="2" t="n">
        <v>9</v>
      </c>
      <c r="B10" s="6" t="str">
        <f aca="false">INDEX('ALL CANDIDATES'!$B$2:$B$63,MATCH(LARGE('ALL CANDIDATES'!$BT$2:$BT$63,$A10),'ALL CANDIDATES'!$BT$2:$BT$63,0))</f>
        <v>Sickman</v>
      </c>
      <c r="C10" s="6" t="str">
        <f aca="false">INDEX('ALL CANDIDATES'!$C$2:$C$63,MATCH(LARGE('ALL CANDIDATES'!$BT$2:$BT$63,$A10),'ALL CANDIDATES'!$BT$2:$BT$63,0))</f>
        <v>sickmanai</v>
      </c>
      <c r="D10" s="6" t="str">
        <f aca="false">INDEX('ALL CANDIDATES'!$E$2:$E$63,MATCH(LARGE('ALL CANDIDATES'!$BT$2:$BT$63,$A10),'ALL CANDIDATES'!$BT$2:$BT$63,0))</f>
        <v>DISCOVERED</v>
      </c>
      <c r="E10" s="6" t="n">
        <f aca="false">INDEX('ALL CANDIDATES'!$BJ$2:$BJ$63,MATCH(LARGE('ALL CANDIDATES'!$BT$2:$BT$63,$A10),'ALL CANDIDATES'!$BT$2:$BT$63,0))</f>
        <v>59.5</v>
      </c>
      <c r="F10" s="19" t="n">
        <f aca="false">INDEX('ALL CANDIDATES'!$K$2:$K$63,MATCH(LARGE('ALL CANDIDATES'!$BT$2:$BT$63,$A10),'ALL CANDIDATES'!$BT$2:$BT$63,0))</f>
        <v>106810</v>
      </c>
      <c r="G10" s="19" t="n">
        <f aca="false">INDEX('ALL CANDIDATES'!$X$2:$X$63,MATCH(LARGE('ALL CANDIDATES'!$BT$2:$BT$63,$A10),'ALL CANDIDATES'!$BT$2:$BT$63,0))</f>
        <v>5091</v>
      </c>
      <c r="H10" s="19" t="n">
        <f aca="false">INDEX('ALL CANDIDATES'!$AG$2:$AG$63,MATCH(LARGE('ALL CANDIDATES'!$BT$2:$BT$63,$A10),'ALL CANDIDATES'!$BT$2:$BT$63,0))</f>
        <v>632105</v>
      </c>
      <c r="I10" s="20" t="str">
        <f aca="false">INDEX('ALL CANDIDATES'!$J$2:$J$63,MATCH(LARGE('ALL CANDIDATES'!$BT$2:$BT$63,$A10),'ALL CANDIDATES'!$BT$2:$BT$63,0))</f>
        <v>Y</v>
      </c>
      <c r="J10" s="21" t="n">
        <f aca="false">INDEX('ALL CANDIDATES'!$BD$2:$BD$63,MATCH(LARGE('ALL CANDIDATES'!$BT$2:$BT$63,$A10),'ALL CANDIDATES'!$BT$2:$BT$63,0))</f>
        <v>0.507152978766557</v>
      </c>
      <c r="K10" s="21" t="n">
        <f aca="false">INDEX('ALL CANDIDATES'!$BE$2:$BE$63,MATCH(LARGE('ALL CANDIDATES'!$BT$2:$BT$63,$A10),'ALL CANDIDATES'!$BT$2:$BT$63,0))</f>
        <v>0.426700774259335</v>
      </c>
      <c r="L10" s="21" t="n">
        <f aca="false">INDEX('ALL CANDIDATES'!$BF$2:$BF$63,MATCH(LARGE('ALL CANDIDATES'!$BT$2:$BT$63,$A10),'ALL CANDIDATES'!$BT$2:$BT$63,0))</f>
        <v>0.700197306411169</v>
      </c>
      <c r="M10" s="21" t="n">
        <f aca="false">INDEX('ALL CANDIDATES'!$BG$2:$BG$63,MATCH(LARGE('ALL CANDIDATES'!$BT$2:$BT$63,$A10),'ALL CANDIDATES'!$BT$2:$BT$63,0))</f>
        <v>1</v>
      </c>
      <c r="N10" s="21" t="n">
        <f aca="false">INDEX('ALL CANDIDATES'!$BH$2:$BH$63,MATCH(LARGE('ALL CANDIDATES'!$BT$2:$BT$63,$A10),'ALL CANDIDATES'!$BT$2:$BT$63,0))</f>
        <v>0.41497059917625</v>
      </c>
      <c r="O10" s="21" t="n">
        <f aca="false">INDEX('ALL CANDIDATES'!$BI$2:$BI$63,MATCH(LARGE('ALL CANDIDATES'!$BT$2:$BT$63,$A10),'ALL CANDIDATES'!$BT$2:$BT$63,0))</f>
        <v>0.76</v>
      </c>
      <c r="P10" s="20" t="str">
        <f aca="false">INDEX('ALL CANDIDATES'!$D$2:$D$63,MATCH(LARGE('ALL CANDIDATES'!$BT$2:$BT$63,$A10),'ALL CANDIDATES'!$BT$2:$BT$63,0))</f>
        <v>https://www.instagram.com/sickmanai/</v>
      </c>
      <c r="Q10" s="20" t="str">
        <f aca="false">INDEX('ALL CANDIDATES'!$AH$2:$AH$63,MATCH(LARGE('ALL CANDIDATES'!$BT$2:$BT$63,$A10),'ALL CANDIDATES'!$BT$2:$BT$63,0))</f>
        <v>https://www.instagram.com/p/DeHe2fKTvjr/</v>
      </c>
    </row>
    <row r="11" customFormat="false" ht="23.85" hidden="false" customHeight="false" outlineLevel="0" collapsed="false">
      <c r="A11" s="2" t="n">
        <v>10</v>
      </c>
      <c r="B11" s="6" t="str">
        <f aca="false">INDEX('ALL CANDIDATES'!$B$2:$B$63,MATCH(LARGE('ALL CANDIDATES'!$BT$2:$BT$63,$A11),'ALL CANDIDATES'!$BT$2:$BT$63,0))</f>
        <v>Candy the Greyhound</v>
      </c>
      <c r="C11" s="6" t="str">
        <f aca="false">INDEX('ALL CANDIDATES'!$C$2:$C$63,MATCH(LARGE('ALL CANDIDATES'!$BT$2:$BT$63,$A11),'ALL CANDIDATES'!$BT$2:$BT$63,0))</f>
        <v>candy.greyhound</v>
      </c>
      <c r="D11" s="6" t="str">
        <f aca="false">INDEX('ALL CANDIDATES'!$E$2:$E$63,MATCH(LARGE('ALL CANDIDATES'!$BT$2:$BT$63,$A11),'ALL CANDIDATES'!$BT$2:$BT$63,0))</f>
        <v>DISCOVERED</v>
      </c>
      <c r="E11" s="6" t="n">
        <f aca="false">INDEX('ALL CANDIDATES'!$BJ$2:$BJ$63,MATCH(LARGE('ALL CANDIDATES'!$BT$2:$BT$63,$A11),'ALL CANDIDATES'!$BT$2:$BT$63,0))</f>
        <v>58.9</v>
      </c>
      <c r="F11" s="19" t="n">
        <f aca="false">INDEX('ALL CANDIDATES'!$K$2:$K$63,MATCH(LARGE('ALL CANDIDATES'!$BT$2:$BT$63,$A11),'ALL CANDIDATES'!$BT$2:$BT$63,0))</f>
        <v>64699</v>
      </c>
      <c r="G11" s="19" t="n">
        <f aca="false">INDEX('ALL CANDIDATES'!$X$2:$X$63,MATCH(LARGE('ALL CANDIDATES'!$BT$2:$BT$63,$A11),'ALL CANDIDATES'!$BT$2:$BT$63,0))</f>
        <v>30857</v>
      </c>
      <c r="H11" s="19" t="n">
        <f aca="false">INDEX('ALL CANDIDATES'!$AG$2:$AG$63,MATCH(LARGE('ALL CANDIDATES'!$BT$2:$BT$63,$A11),'ALL CANDIDATES'!$BT$2:$BT$63,0))</f>
        <v>794009</v>
      </c>
      <c r="I11" s="20" t="str">
        <f aca="false">INDEX('ALL CANDIDATES'!$J$2:$J$63,MATCH(LARGE('ALL CANDIDATES'!$BT$2:$BT$63,$A11),'ALL CANDIDATES'!$BT$2:$BT$63,0))</f>
        <v>Y</v>
      </c>
      <c r="J11" s="21" t="n">
        <f aca="false">INDEX('ALL CANDIDATES'!$BD$2:$BD$63,MATCH(LARGE('ALL CANDIDATES'!$BT$2:$BT$63,$A11),'ALL CANDIDATES'!$BT$2:$BT$63,0))</f>
        <v>0.452724392045699</v>
      </c>
      <c r="K11" s="21" t="n">
        <f aca="false">INDEX('ALL CANDIDATES'!$BE$2:$BE$63,MATCH(LARGE('ALL CANDIDATES'!$BT$2:$BT$63,$A11),'ALL CANDIDATES'!$BT$2:$BT$63,0))</f>
        <v>0.622338425127355</v>
      </c>
      <c r="L11" s="21" t="n">
        <f aca="false">INDEX('ALL CANDIDATES'!$BF$2:$BF$63,MATCH(LARGE('ALL CANDIDATES'!$BT$2:$BT$63,$A11),'ALL CANDIDATES'!$BT$2:$BT$63,0))</f>
        <v>0.724956356283155</v>
      </c>
      <c r="M11" s="21" t="n">
        <f aca="false">INDEX('ALL CANDIDATES'!$BG$2:$BG$63,MATCH(LARGE('ALL CANDIDATES'!$BT$2:$BT$63,$A11),'ALL CANDIDATES'!$BT$2:$BT$63,0))</f>
        <v>0.75</v>
      </c>
      <c r="N11" s="21" t="n">
        <f aca="false">INDEX('ALL CANDIDATES'!$BH$2:$BH$63,MATCH(LARGE('ALL CANDIDATES'!$BT$2:$BT$63,$A11),'ALL CANDIDATES'!$BT$2:$BT$63,0))</f>
        <v>0.325165342657142</v>
      </c>
      <c r="O11" s="21" t="n">
        <f aca="false">INDEX('ALL CANDIDATES'!$BI$2:$BI$63,MATCH(LARGE('ALL CANDIDATES'!$BT$2:$BT$63,$A11),'ALL CANDIDATES'!$BT$2:$BT$63,0))</f>
        <v>0.76</v>
      </c>
      <c r="P11" s="20" t="str">
        <f aca="false">INDEX('ALL CANDIDATES'!$D$2:$D$63,MATCH(LARGE('ALL CANDIDATES'!$BT$2:$BT$63,$A11),'ALL CANDIDATES'!$BT$2:$BT$63,0))</f>
        <v>https://www.instagram.com/candy.greyhound/</v>
      </c>
      <c r="Q11" s="20" t="str">
        <f aca="false">INDEX('ALL CANDIDATES'!$AH$2:$AH$63,MATCH(LARGE('ALL CANDIDATES'!$BT$2:$BT$63,$A11),'ALL CANDIDATES'!$BT$2:$BT$63,0))</f>
        <v>https://www.instagram.com/p/Dct28DASFLp/</v>
      </c>
    </row>
    <row r="13" customFormat="false" ht="15" hidden="false" customHeight="false" outlineLevel="0" collapsed="false">
      <c r="A13" s="10" t="s">
        <v>898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4" min="10" style="0" width="9"/>
    <col collapsed="false" customWidth="true" hidden="false" outlineLevel="0" max="16" min="15" style="0" width="34"/>
  </cols>
  <sheetData>
    <row r="1" customFormat="false" ht="42" hidden="false" customHeight="true" outlineLevel="0" collapsed="false">
      <c r="A1" s="1" t="s">
        <v>896</v>
      </c>
      <c r="B1" s="1" t="s">
        <v>199</v>
      </c>
      <c r="C1" s="1" t="s">
        <v>200</v>
      </c>
      <c r="D1" s="1" t="s">
        <v>202</v>
      </c>
      <c r="E1" s="1" t="s">
        <v>897</v>
      </c>
      <c r="F1" s="1" t="s">
        <v>228</v>
      </c>
      <c r="G1" s="1" t="s">
        <v>235</v>
      </c>
      <c r="H1" s="1" t="s">
        <v>218</v>
      </c>
      <c r="I1" s="1" t="s">
        <v>215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264</v>
      </c>
      <c r="O1" s="1" t="s">
        <v>236</v>
      </c>
      <c r="P1" s="1" t="s">
        <v>201</v>
      </c>
    </row>
    <row r="2" customFormat="false" ht="23.85" hidden="false" customHeight="false" outlineLevel="0" collapsed="false">
      <c r="A2" s="2" t="n">
        <v>1</v>
      </c>
      <c r="B2" s="6" t="str">
        <f aca="false">INDEX('ALL CANDIDATES'!$B$2:$B$63,MATCH(LARGE('ALL CANDIDATES'!$BU$2:$BU$63,$A2),'ALL CANDIDATES'!$BU$2:$BU$63,0))</f>
        <v>Derek Mercer</v>
      </c>
      <c r="C2" s="6" t="str">
        <f aca="false">INDEX('ALL CANDIDATES'!$C$2:$C$63,MATCH(LARGE('ALL CANDIDATES'!$BU$2:$BU$63,$A2),'ALL CANDIDATES'!$BU$2:$BU$63,0))</f>
        <v>derek.mercer.2006</v>
      </c>
      <c r="D2" s="6" t="str">
        <f aca="false">INDEX('ALL CANDIDATES'!$E$2:$E$63,MATCH(LARGE('ALL CANDIDATES'!$BU$2:$BU$63,$A2),'ALL CANDIDATES'!$BU$2:$BU$63,0))</f>
        <v>DISCOVERED</v>
      </c>
      <c r="E2" s="6" t="n">
        <f aca="false">INDEX('ALL CANDIDATES'!$BP$2:$BP$63,MATCH(LARGE('ALL CANDIDATES'!$BU$2:$BU$63,$A2),'ALL CANDIDATES'!$BU$2:$BU$63,0))</f>
        <v>86.9</v>
      </c>
      <c r="F2" s="19" t="n">
        <f aca="false">INDEX('ALL CANDIDATES'!$AE$2:$AE$63,MATCH(LARGE('ALL CANDIDATES'!$BU$2:$BU$63,$A2),'ALL CANDIDATES'!$BU$2:$BU$63,0))</f>
        <v>301185</v>
      </c>
      <c r="G2" s="19" t="n">
        <f aca="false">INDEX('ALL CANDIDATES'!$AL$2:$AL$63,MATCH(LARGE('ALL CANDIDATES'!$BU$2:$BU$63,$A2),'ALL CANDIDATES'!$BU$2:$BU$63,0))</f>
        <v>3150423</v>
      </c>
      <c r="H2" s="20" t="n">
        <f aca="false">INDEX('ALL CANDIDATES'!$U$2:$U$63,MATCH(LARGE('ALL CANDIDATES'!$BU$2:$BU$63,$A2),'ALL CANDIDATES'!$BU$2:$BU$63,0))</f>
        <v>18</v>
      </c>
      <c r="I2" s="22" t="n">
        <f aca="false">INDEX('ALL CANDIDATES'!$R$2:$R$63,MATCH(LARGE('ALL CANDIDATES'!$BU$2:$BU$63,$A2),'ALL CANDIDATES'!$BU$2:$BU$63,0))</f>
        <v>46303</v>
      </c>
      <c r="J2" s="21" t="n">
        <f aca="false">INDEX('ALL CANDIDATES'!$BK$2:$BK$63,MATCH(LARGE('ALL CANDIDATES'!$BU$2:$BU$63,$A2),'ALL CANDIDATES'!$BU$2:$BU$63,0))</f>
        <v>0.869708334694711</v>
      </c>
      <c r="K2" s="21" t="n">
        <f aca="false">INDEX('ALL CANDIDATES'!$BL$2:$BL$63,MATCH(LARGE('ALL CANDIDATES'!$BU$2:$BU$63,$A2),'ALL CANDIDATES'!$BU$2:$BU$63,0))</f>
        <v>0.874592217354731</v>
      </c>
      <c r="L2" s="21" t="n">
        <f aca="false">INDEX('ALL CANDIDATES'!$BM$2:$BM$63,MATCH(LARGE('ALL CANDIDATES'!$BU$2:$BU$63,$A2),'ALL CANDIDATES'!$BU$2:$BU$63,0))</f>
        <v>1</v>
      </c>
      <c r="M2" s="21" t="n">
        <f aca="false">INDEX('ALL CANDIDATES'!$BN$2:$BN$63,MATCH(LARGE('ALL CANDIDATES'!$BU$2:$BU$63,$A2),'ALL CANDIDATES'!$BU$2:$BU$63,0))</f>
        <v>0.638995802148558</v>
      </c>
      <c r="N2" s="21" t="n">
        <f aca="false">INDEX('ALL CANDIDATES'!$BO$2:$BO$63,MATCH(LARGE('ALL CANDIDATES'!$BU$2:$BU$63,$A2),'ALL CANDIDATES'!$BU$2:$BU$63,0))</f>
        <v>1</v>
      </c>
      <c r="O2" s="20" t="str">
        <f aca="false">INDEX('ALL CANDIDATES'!$AM$2:$AM$63,MATCH(LARGE('ALL CANDIDATES'!$BU$2:$BU$63,$A2),'ALL CANDIDATES'!$BU$2:$BU$63,0))</f>
        <v>https://www.instagram.com/p/Dd1y2m2sMRB/</v>
      </c>
      <c r="P2" s="20" t="str">
        <f aca="false">INDEX('ALL CANDIDATES'!$D$2:$D$63,MATCH(LARGE('ALL CANDIDATES'!$BU$2:$BU$63,$A2),'ALL CANDIDATES'!$BU$2:$BU$63,0))</f>
        <v>https://www.instagram.com/derek.mercer.2006/</v>
      </c>
    </row>
    <row r="3" customFormat="false" ht="23.85" hidden="false" customHeight="false" outlineLevel="0" collapsed="false">
      <c r="A3" s="2" t="n">
        <v>2</v>
      </c>
      <c r="B3" s="6" t="str">
        <f aca="false">INDEX('ALL CANDIDATES'!$B$2:$B$63,MATCH(LARGE('ALL CANDIDATES'!$BU$2:$BU$63,$A3),'ALL CANDIDATES'!$BU$2:$BU$63,0))</f>
        <v>Abu Shalab</v>
      </c>
      <c r="C3" s="6" t="str">
        <f aca="false">INDEX('ALL CANDIDATES'!$C$2:$C$63,MATCH(LARGE('ALL CANDIDATES'!$BU$2:$BU$63,$A3),'ALL CANDIDATES'!$BU$2:$BU$63,0))</f>
        <v>abu.shalab</v>
      </c>
      <c r="D3" s="6" t="str">
        <f aca="false">INDEX('ALL CANDIDATES'!$E$2:$E$63,MATCH(LARGE('ALL CANDIDATES'!$BU$2:$BU$63,$A3),'ALL CANDIDATES'!$BU$2:$BU$63,0))</f>
        <v>SEED</v>
      </c>
      <c r="E3" s="6" t="n">
        <f aca="false">INDEX('ALL CANDIDATES'!$BP$2:$BP$63,MATCH(LARGE('ALL CANDIDATES'!$BU$2:$BU$63,$A3),'ALL CANDIDATES'!$BU$2:$BU$63,0))</f>
        <v>80.2</v>
      </c>
      <c r="F3" s="19" t="n">
        <f aca="false">INDEX('ALL CANDIDATES'!$AE$2:$AE$63,MATCH(LARGE('ALL CANDIDATES'!$BU$2:$BU$63,$A3),'ALL CANDIDATES'!$BU$2:$BU$63,0))</f>
        <v>157239</v>
      </c>
      <c r="G3" s="19" t="n">
        <f aca="false">INDEX('ALL CANDIDATES'!$AL$2:$AL$63,MATCH(LARGE('ALL CANDIDATES'!$BU$2:$BU$63,$A3),'ALL CANDIDATES'!$BU$2:$BU$63,0))</f>
        <v>1392520</v>
      </c>
      <c r="H3" s="20" t="n">
        <f aca="false">INDEX('ALL CANDIDATES'!$U$2:$U$63,MATCH(LARGE('ALL CANDIDATES'!$BU$2:$BU$63,$A3),'ALL CANDIDATES'!$BU$2:$BU$63,0))</f>
        <v>27</v>
      </c>
      <c r="I3" s="22" t="n">
        <f aca="false">INDEX('ALL CANDIDATES'!$R$2:$R$63,MATCH(LARGE('ALL CANDIDATES'!$BU$2:$BU$63,$A3),'ALL CANDIDATES'!$BU$2:$BU$63,0))</f>
        <v>46303</v>
      </c>
      <c r="J3" s="21" t="n">
        <f aca="false">INDEX('ALL CANDIDATES'!$BK$2:$BK$63,MATCH(LARGE('ALL CANDIDATES'!$BU$2:$BU$63,$A3),'ALL CANDIDATES'!$BU$2:$BU$63,0))</f>
        <v>0.585945663667382</v>
      </c>
      <c r="K3" s="21" t="n">
        <f aca="false">INDEX('ALL CANDIDATES'!$BL$2:$BL$63,MATCH(LARGE('ALL CANDIDATES'!$BU$2:$BU$63,$A3),'ALL CANDIDATES'!$BU$2:$BU$63,0))</f>
        <v>0.785950360355923</v>
      </c>
      <c r="L3" s="21" t="n">
        <f aca="false">INDEX('ALL CANDIDATES'!$BM$2:$BM$63,MATCH(LARGE('ALL CANDIDATES'!$BU$2:$BU$63,$A3),'ALL CANDIDATES'!$BU$2:$BU$63,0))</f>
        <v>1</v>
      </c>
      <c r="M3" s="21" t="n">
        <f aca="false">INDEX('ALL CANDIDATES'!$BN$2:$BN$63,MATCH(LARGE('ALL CANDIDATES'!$BU$2:$BU$63,$A3),'ALL CANDIDATES'!$BU$2:$BU$63,0))</f>
        <v>1</v>
      </c>
      <c r="N3" s="21" t="n">
        <f aca="false">INDEX('ALL CANDIDATES'!$BO$2:$BO$63,MATCH(LARGE('ALL CANDIDATES'!$BU$2:$BU$63,$A3),'ALL CANDIDATES'!$BU$2:$BU$63,0))</f>
        <v>1</v>
      </c>
      <c r="O3" s="20" t="str">
        <f aca="false">INDEX('ALL CANDIDATES'!$AM$2:$AM$63,MATCH(LARGE('ALL CANDIDATES'!$BU$2:$BU$63,$A3),'ALL CANDIDATES'!$BU$2:$BU$63,0))</f>
        <v>https://www.instagram.com/p/Dduf1zGNri-/</v>
      </c>
      <c r="P3" s="20" t="str">
        <f aca="false">INDEX('ALL CANDIDATES'!$D$2:$D$63,MATCH(LARGE('ALL CANDIDATES'!$BU$2:$BU$63,$A3),'ALL CANDIDATES'!$BU$2:$BU$63,0))</f>
        <v>https://www.instagram.com/abu.shalab/</v>
      </c>
    </row>
    <row r="4" customFormat="false" ht="23.85" hidden="false" customHeight="false" outlineLevel="0" collapsed="false">
      <c r="A4" s="2" t="n">
        <v>3</v>
      </c>
      <c r="B4" s="6" t="str">
        <f aca="false">INDEX('ALL CANDIDATES'!$B$2:$B$63,MATCH(LARGE('ALL CANDIDATES'!$BU$2:$BU$63,$A4),'ALL CANDIDATES'!$BU$2:$BU$63,0))</f>
        <v>Abu Nutty</v>
      </c>
      <c r="C4" s="6" t="str">
        <f aca="false">INDEX('ALL CANDIDATES'!$C$2:$C$63,MATCH(LARGE('ALL CANDIDATES'!$BU$2:$BU$63,$A4),'ALL CANDIDATES'!$BU$2:$BU$63,0))</f>
        <v>abunuttyofficial</v>
      </c>
      <c r="D4" s="6" t="str">
        <f aca="false">INDEX('ALL CANDIDATES'!$E$2:$E$63,MATCH(LARGE('ALL CANDIDATES'!$BU$2:$BU$63,$A4),'ALL CANDIDATES'!$BU$2:$BU$63,0))</f>
        <v>DISCOVERED</v>
      </c>
      <c r="E4" s="6" t="n">
        <f aca="false">INDEX('ALL CANDIDATES'!$BP$2:$BP$63,MATCH(LARGE('ALL CANDIDATES'!$BU$2:$BU$63,$A4),'ALL CANDIDATES'!$BU$2:$BU$63,0))</f>
        <v>70.9</v>
      </c>
      <c r="F4" s="19" t="n">
        <f aca="false">INDEX('ALL CANDIDATES'!$AE$2:$AE$63,MATCH(LARGE('ALL CANDIDATES'!$BU$2:$BU$63,$A4),'ALL CANDIDATES'!$BU$2:$BU$63,0))</f>
        <v>41952</v>
      </c>
      <c r="G4" s="19" t="n">
        <f aca="false">INDEX('ALL CANDIDATES'!$AL$2:$AL$63,MATCH(LARGE('ALL CANDIDATES'!$BU$2:$BU$63,$A4),'ALL CANDIDATES'!$BU$2:$BU$63,0))</f>
        <v>119425</v>
      </c>
      <c r="H4" s="20" t="n">
        <f aca="false">INDEX('ALL CANDIDATES'!$U$2:$U$63,MATCH(LARGE('ALL CANDIDATES'!$BU$2:$BU$63,$A4),'ALL CANDIDATES'!$BU$2:$BU$63,0))</f>
        <v>14</v>
      </c>
      <c r="I4" s="22" t="n">
        <f aca="false">INDEX('ALL CANDIDATES'!$R$2:$R$63,MATCH(LARGE('ALL CANDIDATES'!$BU$2:$BU$63,$A4),'ALL CANDIDATES'!$BU$2:$BU$63,0))</f>
        <v>46303</v>
      </c>
      <c r="J4" s="21" t="n">
        <f aca="false">INDEX('ALL CANDIDATES'!$BK$2:$BK$63,MATCH(LARGE('ALL CANDIDATES'!$BU$2:$BU$63,$A4),'ALL CANDIDATES'!$BU$2:$BU$63,0))</f>
        <v>0.655688167502498</v>
      </c>
      <c r="K4" s="21" t="n">
        <f aca="false">INDEX('ALL CANDIDATES'!$BL$2:$BL$63,MATCH(LARGE('ALL CANDIDATES'!$BU$2:$BU$63,$A4),'ALL CANDIDATES'!$BU$2:$BU$63,0))</f>
        <v>0.519273812488848</v>
      </c>
      <c r="L4" s="21" t="n">
        <f aca="false">INDEX('ALL CANDIDATES'!$BM$2:$BM$63,MATCH(LARGE('ALL CANDIDATES'!$BU$2:$BU$63,$A4),'ALL CANDIDATES'!$BU$2:$BU$63,0))</f>
        <v>1</v>
      </c>
      <c r="M4" s="21" t="n">
        <f aca="false">INDEX('ALL CANDIDATES'!$BN$2:$BN$63,MATCH(LARGE('ALL CANDIDATES'!$BU$2:$BU$63,$A4),'ALL CANDIDATES'!$BU$2:$BU$63,0))</f>
        <v>0.663407610677706</v>
      </c>
      <c r="N4" s="21" t="n">
        <f aca="false">INDEX('ALL CANDIDATES'!$BO$2:$BO$63,MATCH(LARGE('ALL CANDIDATES'!$BU$2:$BU$63,$A4),'ALL CANDIDATES'!$BU$2:$BU$63,0))</f>
        <v>1</v>
      </c>
      <c r="O4" s="20" t="str">
        <f aca="false">INDEX('ALL CANDIDATES'!$AM$2:$AM$63,MATCH(LARGE('ALL CANDIDATES'!$BU$2:$BU$63,$A4),'ALL CANDIDATES'!$BU$2:$BU$63,0))</f>
        <v>https://www.instagram.com/p/Dd9effMAN2F/</v>
      </c>
      <c r="P4" s="20" t="str">
        <f aca="false">INDEX('ALL CANDIDATES'!$D$2:$D$63,MATCH(LARGE('ALL CANDIDATES'!$BU$2:$BU$63,$A4),'ALL CANDIDATES'!$BU$2:$BU$63,0))</f>
        <v>https://www.instagram.com/abunuttyofficial/</v>
      </c>
    </row>
    <row r="5" customFormat="false" ht="23.85" hidden="false" customHeight="false" outlineLevel="0" collapsed="false">
      <c r="A5" s="2" t="n">
        <v>4</v>
      </c>
      <c r="B5" s="6" t="str">
        <f aca="false">INDEX('ALL CANDIDATES'!$B$2:$B$63,MATCH(LARGE('ALL CANDIDATES'!$BU$2:$BU$63,$A5),'ALL CANDIDATES'!$BU$2:$BU$63,0))</f>
        <v>Casper the Italian Greyhound</v>
      </c>
      <c r="C5" s="6" t="str">
        <f aca="false">INDEX('ALL CANDIDATES'!$C$2:$C$63,MATCH(LARGE('ALL CANDIDATES'!$BU$2:$BU$63,$A5),'ALL CANDIDATES'!$BU$2:$BU$63,0))</f>
        <v>casper.iggy</v>
      </c>
      <c r="D5" s="6" t="str">
        <f aca="false">INDEX('ALL CANDIDATES'!$E$2:$E$63,MATCH(LARGE('ALL CANDIDATES'!$BU$2:$BU$63,$A5),'ALL CANDIDATES'!$BU$2:$BU$63,0))</f>
        <v>DISCOVERED</v>
      </c>
      <c r="E5" s="6" t="n">
        <f aca="false">INDEX('ALL CANDIDATES'!$BP$2:$BP$63,MATCH(LARGE('ALL CANDIDATES'!$BU$2:$BU$63,$A5),'ALL CANDIDATES'!$BU$2:$BU$63,0))</f>
        <v>68.2</v>
      </c>
      <c r="F5" s="19" t="n">
        <f aca="false">INDEX('ALL CANDIDATES'!$AE$2:$AE$63,MATCH(LARGE('ALL CANDIDATES'!$BU$2:$BU$63,$A5),'ALL CANDIDATES'!$BU$2:$BU$63,0))</f>
        <v>130394</v>
      </c>
      <c r="G5" s="19" t="n">
        <f aca="false">INDEX('ALL CANDIDATES'!$AL$2:$AL$63,MATCH(LARGE('ALL CANDIDATES'!$BU$2:$BU$63,$A5),'ALL CANDIDATES'!$BU$2:$BU$63,0))</f>
        <v>527299</v>
      </c>
      <c r="H5" s="20" t="n">
        <f aca="false">INDEX('ALL CANDIDATES'!$U$2:$U$63,MATCH(LARGE('ALL CANDIDATES'!$BU$2:$BU$63,$A5),'ALL CANDIDATES'!$BU$2:$BU$63,0))</f>
        <v>13</v>
      </c>
      <c r="I5" s="22" t="n">
        <f aca="false">INDEX('ALL CANDIDATES'!$R$2:$R$63,MATCH(LARGE('ALL CANDIDATES'!$BU$2:$BU$63,$A5),'ALL CANDIDATES'!$BU$2:$BU$63,0))</f>
        <v>46302</v>
      </c>
      <c r="J5" s="21" t="n">
        <f aca="false">INDEX('ALL CANDIDATES'!$BK$2:$BK$63,MATCH(LARGE('ALL CANDIDATES'!$BU$2:$BU$63,$A5),'ALL CANDIDATES'!$BU$2:$BU$63,0))</f>
        <v>0.778814402015306</v>
      </c>
      <c r="K5" s="21" t="n">
        <f aca="false">INDEX('ALL CANDIDATES'!$BL$2:$BL$63,MATCH(LARGE('ALL CANDIDATES'!$BU$2:$BU$63,$A5),'ALL CANDIDATES'!$BU$2:$BU$63,0))</f>
        <v>0.680514236927834</v>
      </c>
      <c r="L5" s="21" t="n">
        <f aca="false">INDEX('ALL CANDIDATES'!$BM$2:$BM$63,MATCH(LARGE('ALL CANDIDATES'!$BU$2:$BU$63,$A5),'ALL CANDIDATES'!$BU$2:$BU$63,0))</f>
        <v>0.928571428571429</v>
      </c>
      <c r="M5" s="21" t="n">
        <f aca="false">INDEX('ALL CANDIDATES'!$BN$2:$BN$63,MATCH(LARGE('ALL CANDIDATES'!$BU$2:$BU$63,$A5),'ALL CANDIDATES'!$BU$2:$BU$63,0))</f>
        <v>0</v>
      </c>
      <c r="N5" s="21" t="n">
        <f aca="false">INDEX('ALL CANDIDATES'!$BO$2:$BO$63,MATCH(LARGE('ALL CANDIDATES'!$BU$2:$BU$63,$A5),'ALL CANDIDATES'!$BU$2:$BU$63,0))</f>
        <v>1</v>
      </c>
      <c r="O5" s="20" t="str">
        <f aca="false">INDEX('ALL CANDIDATES'!$AM$2:$AM$63,MATCH(LARGE('ALL CANDIDATES'!$BU$2:$BU$63,$A5),'ALL CANDIDATES'!$BU$2:$BU$63,0))</f>
        <v>https://www.instagram.com/p/Dd85audNoC2/</v>
      </c>
      <c r="P5" s="20" t="str">
        <f aca="false">INDEX('ALL CANDIDATES'!$D$2:$D$63,MATCH(LARGE('ALL CANDIDATES'!$BU$2:$BU$63,$A5),'ALL CANDIDATES'!$BU$2:$BU$63,0))</f>
        <v>https://www.instagram.com/casper.iggy/</v>
      </c>
    </row>
    <row r="6" customFormat="false" ht="23.85" hidden="false" customHeight="false" outlineLevel="0" collapsed="false">
      <c r="A6" s="2" t="n">
        <v>5</v>
      </c>
      <c r="B6" s="6" t="str">
        <f aca="false">INDEX('ALL CANDIDATES'!$B$2:$B$63,MATCH(LARGE('ALL CANDIDATES'!$BU$2:$BU$63,$A6),'ALL CANDIDATES'!$BU$2:$BU$63,0))</f>
        <v>Vulu Zamal</v>
      </c>
      <c r="C6" s="6" t="str">
        <f aca="false">INDEX('ALL CANDIDATES'!$C$2:$C$63,MATCH(LARGE('ALL CANDIDATES'!$BU$2:$BU$63,$A6),'ALL CANDIDATES'!$BU$2:$BU$63,0))</f>
        <v>vuluzamal</v>
      </c>
      <c r="D6" s="6" t="str">
        <f aca="false">INDEX('ALL CANDIDATES'!$E$2:$E$63,MATCH(LARGE('ALL CANDIDATES'!$BU$2:$BU$63,$A6),'ALL CANDIDATES'!$BU$2:$BU$63,0))</f>
        <v>DISCOVERED</v>
      </c>
      <c r="E6" s="6" t="n">
        <f aca="false">INDEX('ALL CANDIDATES'!$BP$2:$BP$63,MATCH(LARGE('ALL CANDIDATES'!$BU$2:$BU$63,$A6),'ALL CANDIDATES'!$BU$2:$BU$63,0))</f>
        <v>66.5</v>
      </c>
      <c r="F6" s="19" t="n">
        <f aca="false">INDEX('ALL CANDIDATES'!$AE$2:$AE$63,MATCH(LARGE('ALL CANDIDATES'!$BU$2:$BU$63,$A6),'ALL CANDIDATES'!$BU$2:$BU$63,0))</f>
        <v>23737</v>
      </c>
      <c r="G6" s="19" t="n">
        <f aca="false">INDEX('ALL CANDIDATES'!$AL$2:$AL$63,MATCH(LARGE('ALL CANDIDATES'!$BU$2:$BU$63,$A6),'ALL CANDIDATES'!$BU$2:$BU$63,0))</f>
        <v>194063</v>
      </c>
      <c r="H6" s="20" t="n">
        <f aca="false">INDEX('ALL CANDIDATES'!$U$2:$U$63,MATCH(LARGE('ALL CANDIDATES'!$BU$2:$BU$63,$A6),'ALL CANDIDATES'!$BU$2:$BU$63,0))</f>
        <v>11</v>
      </c>
      <c r="I6" s="22" t="n">
        <f aca="false">INDEX('ALL CANDIDATES'!$R$2:$R$63,MATCH(LARGE('ALL CANDIDATES'!$BU$2:$BU$63,$A6),'ALL CANDIDATES'!$BU$2:$BU$63,0))</f>
        <v>46304</v>
      </c>
      <c r="J6" s="21" t="n">
        <f aca="false">INDEX('ALL CANDIDATES'!$BK$2:$BK$63,MATCH(LARGE('ALL CANDIDATES'!$BU$2:$BU$63,$A6),'ALL CANDIDATES'!$BU$2:$BU$63,0))</f>
        <v>0.593856457448086</v>
      </c>
      <c r="K6" s="21" t="n">
        <f aca="false">INDEX('ALL CANDIDATES'!$BL$2:$BL$63,MATCH(LARGE('ALL CANDIDATES'!$BU$2:$BU$63,$A6),'ALL CANDIDATES'!$BU$2:$BU$63,0))</f>
        <v>0.571985685202605</v>
      </c>
      <c r="L6" s="21" t="n">
        <f aca="false">INDEX('ALL CANDIDATES'!$BM$2:$BM$63,MATCH(LARGE('ALL CANDIDATES'!$BU$2:$BU$63,$A6),'ALL CANDIDATES'!$BU$2:$BU$63,0))</f>
        <v>0.785714285714286</v>
      </c>
      <c r="M6" s="21" t="n">
        <f aca="false">INDEX('ALL CANDIDATES'!$BN$2:$BN$63,MATCH(LARGE('ALL CANDIDATES'!$BU$2:$BU$63,$A6),'ALL CANDIDATES'!$BU$2:$BU$63,0))</f>
        <v>0.642246502727454</v>
      </c>
      <c r="N6" s="21" t="n">
        <f aca="false">INDEX('ALL CANDIDATES'!$BO$2:$BO$63,MATCH(LARGE('ALL CANDIDATES'!$BU$2:$BU$63,$A6),'ALL CANDIDATES'!$BU$2:$BU$63,0))</f>
        <v>1</v>
      </c>
      <c r="O6" s="20" t="str">
        <f aca="false">INDEX('ALL CANDIDATES'!$AM$2:$AM$63,MATCH(LARGE('ALL CANDIDATES'!$BU$2:$BU$63,$A6),'ALL CANDIDATES'!$BU$2:$BU$63,0))</f>
        <v>https://www.instagram.com/p/Dd5VDDURAPn/</v>
      </c>
      <c r="P6" s="20" t="str">
        <f aca="false">INDEX('ALL CANDIDATES'!$D$2:$D$63,MATCH(LARGE('ALL CANDIDATES'!$BU$2:$BU$63,$A6),'ALL CANDIDATES'!$BU$2:$BU$63,0))</f>
        <v>https://www.instagram.com/vuluzamal/</v>
      </c>
    </row>
    <row r="7" customFormat="false" ht="23.85" hidden="false" customHeight="false" outlineLevel="0" collapsed="false">
      <c r="A7" s="2" t="n">
        <v>6</v>
      </c>
      <c r="B7" s="6" t="str">
        <f aca="false">INDEX('ALL CANDIDATES'!$B$2:$B$63,MATCH(LARGE('ALL CANDIDATES'!$BU$2:$BU$63,$A7),'ALL CANDIDATES'!$BU$2:$BU$63,0))</f>
        <v>Lord Farquaad (parody account)</v>
      </c>
      <c r="C7" s="6" t="str">
        <f aca="false">INDEX('ALL CANDIDATES'!$C$2:$C$63,MATCH(LARGE('ALL CANDIDATES'!$BU$2:$BU$63,$A7),'ALL CANDIDATES'!$BU$2:$BU$63,0))</f>
        <v>lord.farquaad.sol</v>
      </c>
      <c r="D7" s="6" t="str">
        <f aca="false">INDEX('ALL CANDIDATES'!$E$2:$E$63,MATCH(LARGE('ALL CANDIDATES'!$BU$2:$BU$63,$A7),'ALL CANDIDATES'!$BU$2:$BU$63,0))</f>
        <v>SEED</v>
      </c>
      <c r="E7" s="6" t="n">
        <f aca="false">INDEX('ALL CANDIDATES'!$BP$2:$BP$63,MATCH(LARGE('ALL CANDIDATES'!$BU$2:$BU$63,$A7),'ALL CANDIDATES'!$BU$2:$BU$63,0))</f>
        <v>64.4</v>
      </c>
      <c r="F7" s="19" t="n">
        <f aca="false">INDEX('ALL CANDIDATES'!$AE$2:$AE$63,MATCH(LARGE('ALL CANDIDATES'!$BU$2:$BU$63,$A7),'ALL CANDIDATES'!$BU$2:$BU$63,0))</f>
        <v>25012</v>
      </c>
      <c r="G7" s="19" t="n">
        <f aca="false">INDEX('ALL CANDIDATES'!$AL$2:$AL$63,MATCH(LARGE('ALL CANDIDATES'!$BU$2:$BU$63,$A7),'ALL CANDIDATES'!$BU$2:$BU$63,0))</f>
        <v>379725</v>
      </c>
      <c r="H7" s="20" t="n">
        <f aca="false">INDEX('ALL CANDIDATES'!$U$2:$U$63,MATCH(LARGE('ALL CANDIDATES'!$BU$2:$BU$63,$A7),'ALL CANDIDATES'!$BU$2:$BU$63,0))</f>
        <v>51</v>
      </c>
      <c r="I7" s="22" t="n">
        <f aca="false">INDEX('ALL CANDIDATES'!$R$2:$R$63,MATCH(LARGE('ALL CANDIDATES'!$BU$2:$BU$63,$A7),'ALL CANDIDATES'!$BU$2:$BU$63,0))</f>
        <v>46304</v>
      </c>
      <c r="J7" s="21" t="n">
        <f aca="false">INDEX('ALL CANDIDATES'!$BK$2:$BK$63,MATCH(LARGE('ALL CANDIDATES'!$BU$2:$BU$63,$A7),'ALL CANDIDATES'!$BU$2:$BU$63,0))</f>
        <v>0.34455403743747</v>
      </c>
      <c r="K7" s="21" t="n">
        <f aca="false">INDEX('ALL CANDIDATES'!$BL$2:$BL$63,MATCH(LARGE('ALL CANDIDATES'!$BU$2:$BU$63,$A7),'ALL CANDIDATES'!$BU$2:$BU$63,0))</f>
        <v>0.644867297694635</v>
      </c>
      <c r="L7" s="21" t="n">
        <f aca="false">INDEX('ALL CANDIDATES'!$BM$2:$BM$63,MATCH(LARGE('ALL CANDIDATES'!$BU$2:$BU$63,$A7),'ALL CANDIDATES'!$BU$2:$BU$63,0))</f>
        <v>1</v>
      </c>
      <c r="M7" s="21" t="n">
        <f aca="false">INDEX('ALL CANDIDATES'!$BN$2:$BN$63,MATCH(LARGE('ALL CANDIDATES'!$BU$2:$BU$63,$A7),'ALL CANDIDATES'!$BU$2:$BU$63,0))</f>
        <v>0.745882391298718</v>
      </c>
      <c r="N7" s="21" t="n">
        <f aca="false">INDEX('ALL CANDIDATES'!$BO$2:$BO$63,MATCH(LARGE('ALL CANDIDATES'!$BU$2:$BU$63,$A7),'ALL CANDIDATES'!$BU$2:$BU$63,0))</f>
        <v>1</v>
      </c>
      <c r="O7" s="20" t="str">
        <f aca="false">INDEX('ALL CANDIDATES'!$AM$2:$AM$63,MATCH(LARGE('ALL CANDIDATES'!$BU$2:$BU$63,$A7),'ALL CANDIDATES'!$BU$2:$BU$63,0))</f>
        <v>https://www.instagram.com/p/DdwhswgBSFq/</v>
      </c>
      <c r="P7" s="20" t="str">
        <f aca="false">INDEX('ALL CANDIDATES'!$D$2:$D$63,MATCH(LARGE('ALL CANDIDATES'!$BU$2:$BU$63,$A7),'ALL CANDIDATES'!$BU$2:$BU$63,0))</f>
        <v>https://www.instagram.com/lord.farquaad.sol/</v>
      </c>
    </row>
    <row r="8" customFormat="false" ht="23.85" hidden="false" customHeight="false" outlineLevel="0" collapsed="false">
      <c r="A8" s="2" t="n">
        <v>7</v>
      </c>
      <c r="B8" s="6" t="str">
        <f aca="false">INDEX('ALL CANDIDATES'!$B$2:$B$63,MATCH(LARGE('ALL CANDIDATES'!$BU$2:$BU$63,$A8),'ALL CANDIDATES'!$BU$2:$BU$63,0))</f>
        <v>Abdoul Cheqri</v>
      </c>
      <c r="C8" s="6" t="str">
        <f aca="false">INDEX('ALL CANDIDATES'!$C$2:$C$63,MATCH(LARGE('ALL CANDIDATES'!$BU$2:$BU$63,$A8),'ALL CANDIDATES'!$BU$2:$BU$63,0))</f>
        <v>abdoul.cheqri</v>
      </c>
      <c r="D8" s="6" t="str">
        <f aca="false">INDEX('ALL CANDIDATES'!$E$2:$E$63,MATCH(LARGE('ALL CANDIDATES'!$BU$2:$BU$63,$A8),'ALL CANDIDATES'!$BU$2:$BU$63,0))</f>
        <v>DISCOVERED</v>
      </c>
      <c r="E8" s="6" t="n">
        <f aca="false">INDEX('ALL CANDIDATES'!$BP$2:$BP$63,MATCH(LARGE('ALL CANDIDATES'!$BU$2:$BU$63,$A8),'ALL CANDIDATES'!$BU$2:$BU$63,0))</f>
        <v>63.6</v>
      </c>
      <c r="F8" s="19" t="n">
        <f aca="false">INDEX('ALL CANDIDATES'!$AE$2:$AE$63,MATCH(LARGE('ALL CANDIDATES'!$BU$2:$BU$63,$A8),'ALL CANDIDATES'!$BU$2:$BU$63,0))</f>
        <v>13776</v>
      </c>
      <c r="G8" s="19" t="n">
        <f aca="false">INDEX('ALL CANDIDATES'!$AL$2:$AL$63,MATCH(LARGE('ALL CANDIDATES'!$BU$2:$BU$63,$A8),'ALL CANDIDATES'!$BU$2:$BU$63,0))</f>
        <v>86926</v>
      </c>
      <c r="H8" s="20" t="n">
        <f aca="false">INDEX('ALL CANDIDATES'!$U$2:$U$63,MATCH(LARGE('ALL CANDIDATES'!$BU$2:$BU$63,$A8),'ALL CANDIDATES'!$BU$2:$BU$63,0))</f>
        <v>17</v>
      </c>
      <c r="I8" s="22" t="n">
        <f aca="false">INDEX('ALL CANDIDATES'!$R$2:$R$63,MATCH(LARGE('ALL CANDIDATES'!$BU$2:$BU$63,$A8),'ALL CANDIDATES'!$BU$2:$BU$63,0))</f>
        <v>46303</v>
      </c>
      <c r="J8" s="21" t="n">
        <f aca="false">INDEX('ALL CANDIDATES'!$BK$2:$BK$63,MATCH(LARGE('ALL CANDIDATES'!$BU$2:$BU$63,$A8),'ALL CANDIDATES'!$BU$2:$BU$63,0))</f>
        <v>0.402104762829321</v>
      </c>
      <c r="K8" s="21" t="n">
        <f aca="false">INDEX('ALL CANDIDATES'!$BL$2:$BL$63,MATCH(LARGE('ALL CANDIDATES'!$BU$2:$BU$63,$A8),'ALL CANDIDATES'!$BU$2:$BU$63,0))</f>
        <v>0.484787423881055</v>
      </c>
      <c r="L8" s="21" t="n">
        <f aca="false">INDEX('ALL CANDIDATES'!$BM$2:$BM$63,MATCH(LARGE('ALL CANDIDATES'!$BU$2:$BU$63,$A8),'ALL CANDIDATES'!$BU$2:$BU$63,0))</f>
        <v>1</v>
      </c>
      <c r="M8" s="21" t="n">
        <f aca="false">INDEX('ALL CANDIDATES'!$BN$2:$BN$63,MATCH(LARGE('ALL CANDIDATES'!$BU$2:$BU$63,$A8),'ALL CANDIDATES'!$BU$2:$BU$63,0))</f>
        <v>0.825040313779263</v>
      </c>
      <c r="N8" s="21" t="n">
        <f aca="false">INDEX('ALL CANDIDATES'!$BO$2:$BO$63,MATCH(LARGE('ALL CANDIDATES'!$BU$2:$BU$63,$A8),'ALL CANDIDATES'!$BU$2:$BU$63,0))</f>
        <v>1</v>
      </c>
      <c r="O8" s="20" t="str">
        <f aca="false">INDEX('ALL CANDIDATES'!$AM$2:$AM$63,MATCH(LARGE('ALL CANDIDATES'!$BU$2:$BU$63,$A8),'ALL CANDIDATES'!$BU$2:$BU$63,0))</f>
        <v>https://www.instagram.com/p/Dd7IwUgMkba/</v>
      </c>
      <c r="P8" s="20" t="str">
        <f aca="false">INDEX('ALL CANDIDATES'!$D$2:$D$63,MATCH(LARGE('ALL CANDIDATES'!$BU$2:$BU$63,$A8),'ALL CANDIDATES'!$BU$2:$BU$63,0))</f>
        <v>https://www.instagram.com/abdoul.cheqri/</v>
      </c>
    </row>
    <row r="9" customFormat="false" ht="23.85" hidden="false" customHeight="false" outlineLevel="0" collapsed="false">
      <c r="A9" s="2" t="n">
        <v>8</v>
      </c>
      <c r="B9" s="6" t="str">
        <f aca="false">INDEX('ALL CANDIDATES'!$B$2:$B$63,MATCH(LARGE('ALL CANDIDATES'!$BU$2:$BU$63,$A9),'ALL CANDIDATES'!$BU$2:$BU$63,0))</f>
        <v>Mr. Stretchy</v>
      </c>
      <c r="C9" s="6" t="str">
        <f aca="false">INDEX('ALL CANDIDATES'!$C$2:$C$63,MATCH(LARGE('ALL CANDIDATES'!$BU$2:$BU$63,$A9),'ALL CANDIDATES'!$BU$2:$BU$63,0))</f>
        <v>mr._stretchy</v>
      </c>
      <c r="D9" s="6" t="str">
        <f aca="false">INDEX('ALL CANDIDATES'!$E$2:$E$63,MATCH(LARGE('ALL CANDIDATES'!$BU$2:$BU$63,$A9),'ALL CANDIDATES'!$BU$2:$BU$63,0))</f>
        <v>DISCOVERED</v>
      </c>
      <c r="E9" s="6" t="n">
        <f aca="false">INDEX('ALL CANDIDATES'!$BP$2:$BP$63,MATCH(LARGE('ALL CANDIDATES'!$BU$2:$BU$63,$A9),'ALL CANDIDATES'!$BU$2:$BU$63,0))</f>
        <v>62.7</v>
      </c>
      <c r="F9" s="19" t="n">
        <f aca="false">INDEX('ALL CANDIDATES'!$AE$2:$AE$63,MATCH(LARGE('ALL CANDIDATES'!$BU$2:$BU$63,$A9),'ALL CANDIDATES'!$BU$2:$BU$63,0))</f>
        <v>61104</v>
      </c>
      <c r="G9" s="19" t="n">
        <f aca="false">INDEX('ALL CANDIDATES'!$AL$2:$AL$63,MATCH(LARGE('ALL CANDIDATES'!$BU$2:$BU$63,$A9),'ALL CANDIDATES'!$BU$2:$BU$63,0))</f>
        <v>203290</v>
      </c>
      <c r="H9" s="20" t="n">
        <f aca="false">INDEX('ALL CANDIDATES'!$U$2:$U$63,MATCH(LARGE('ALL CANDIDATES'!$BU$2:$BU$63,$A9),'ALL CANDIDATES'!$BU$2:$BU$63,0))</f>
        <v>13</v>
      </c>
      <c r="I9" s="22" t="n">
        <f aca="false">INDEX('ALL CANDIDATES'!$R$2:$R$63,MATCH(LARGE('ALL CANDIDATES'!$BU$2:$BU$63,$A9),'ALL CANDIDATES'!$BU$2:$BU$63,0))</f>
        <v>46303</v>
      </c>
      <c r="J9" s="21" t="n">
        <f aca="false">INDEX('ALL CANDIDATES'!$BK$2:$BK$63,MATCH(LARGE('ALL CANDIDATES'!$BU$2:$BU$63,$A9),'ALL CANDIDATES'!$BU$2:$BU$63,0))</f>
        <v>0.695021694899599</v>
      </c>
      <c r="K9" s="21" t="n">
        <f aca="false">INDEX('ALL CANDIDATES'!$BL$2:$BL$63,MATCH(LARGE('ALL CANDIDATES'!$BU$2:$BU$63,$A9),'ALL CANDIDATES'!$BU$2:$BU$63,0))</f>
        <v>0.577029003966404</v>
      </c>
      <c r="L9" s="21" t="n">
        <f aca="false">INDEX('ALL CANDIDATES'!$BM$2:$BM$63,MATCH(LARGE('ALL CANDIDATES'!$BU$2:$BU$63,$A9),'ALL CANDIDATES'!$BU$2:$BU$63,0))</f>
        <v>0.928571428571429</v>
      </c>
      <c r="M9" s="21" t="n">
        <f aca="false">INDEX('ALL CANDIDATES'!$BN$2:$BN$63,MATCH(LARGE('ALL CANDIDATES'!$BU$2:$BU$63,$A9),'ALL CANDIDATES'!$BU$2:$BU$63,0))</f>
        <v>0</v>
      </c>
      <c r="N9" s="21" t="n">
        <f aca="false">INDEX('ALL CANDIDATES'!$BO$2:$BO$63,MATCH(LARGE('ALL CANDIDATES'!$BU$2:$BU$63,$A9),'ALL CANDIDATES'!$BU$2:$BU$63,0))</f>
        <v>1</v>
      </c>
      <c r="O9" s="20" t="str">
        <f aca="false">INDEX('ALL CANDIDATES'!$AM$2:$AM$63,MATCH(LARGE('ALL CANDIDATES'!$BU$2:$BU$63,$A9),'ALL CANDIDATES'!$BU$2:$BU$63,0))</f>
        <v>https://www.instagram.com/p/DeAcjbDtnuT/</v>
      </c>
      <c r="P9" s="20" t="str">
        <f aca="false">INDEX('ALL CANDIDATES'!$D$2:$D$63,MATCH(LARGE('ALL CANDIDATES'!$BU$2:$BU$63,$A9),'ALL CANDIDATES'!$BU$2:$BU$63,0))</f>
        <v>https://www.instagram.com/mr._stretchy/</v>
      </c>
    </row>
    <row r="10" customFormat="false" ht="23.85" hidden="false" customHeight="false" outlineLevel="0" collapsed="false">
      <c r="A10" s="2" t="n">
        <v>9</v>
      </c>
      <c r="B10" s="6" t="str">
        <f aca="false">INDEX('ALL CANDIDATES'!$B$2:$B$63,MATCH(LARGE('ALL CANDIDATES'!$BU$2:$BU$63,$A10),'ALL CANDIDATES'!$BU$2:$BU$63,0))</f>
        <v>Caramelinho</v>
      </c>
      <c r="C10" s="6" t="str">
        <f aca="false">INDEX('ALL CANDIDATES'!$C$2:$C$63,MATCH(LARGE('ALL CANDIDATES'!$BU$2:$BU$63,$A10),'ALL CANDIDATES'!$BU$2:$BU$63,0))</f>
        <v>caramelinho.ia</v>
      </c>
      <c r="D10" s="6" t="str">
        <f aca="false">INDEX('ALL CANDIDATES'!$E$2:$E$63,MATCH(LARGE('ALL CANDIDATES'!$BU$2:$BU$63,$A10),'ALL CANDIDATES'!$BU$2:$BU$63,0))</f>
        <v>DISCOVERED</v>
      </c>
      <c r="E10" s="6" t="n">
        <f aca="false">INDEX('ALL CANDIDATES'!$BP$2:$BP$63,MATCH(LARGE('ALL CANDIDATES'!$BU$2:$BU$63,$A10),'ALL CANDIDATES'!$BU$2:$BU$63,0))</f>
        <v>62.1</v>
      </c>
      <c r="F10" s="19" t="n">
        <f aca="false">INDEX('ALL CANDIDATES'!$AE$2:$AE$63,MATCH(LARGE('ALL CANDIDATES'!$BU$2:$BU$63,$A10),'ALL CANDIDATES'!$BU$2:$BU$63,0))</f>
        <v>15158</v>
      </c>
      <c r="G10" s="19" t="n">
        <f aca="false">INDEX('ALL CANDIDATES'!$AL$2:$AL$63,MATCH(LARGE('ALL CANDIDATES'!$BU$2:$BU$63,$A10),'ALL CANDIDATES'!$BU$2:$BU$63,0))</f>
        <v>61373</v>
      </c>
      <c r="H10" s="20" t="n">
        <f aca="false">INDEX('ALL CANDIDATES'!$U$2:$U$63,MATCH(LARGE('ALL CANDIDATES'!$BU$2:$BU$63,$A10),'ALL CANDIDATES'!$BU$2:$BU$63,0))</f>
        <v>13</v>
      </c>
      <c r="I10" s="22" t="n">
        <f aca="false">INDEX('ALL CANDIDATES'!$R$2:$R$63,MATCH(LARGE('ALL CANDIDATES'!$BU$2:$BU$63,$A10),'ALL CANDIDATES'!$BU$2:$BU$63,0))</f>
        <v>46303</v>
      </c>
      <c r="J10" s="21" t="n">
        <f aca="false">INDEX('ALL CANDIDATES'!$BK$2:$BK$63,MATCH(LARGE('ALL CANDIDATES'!$BU$2:$BU$63,$A10),'ALL CANDIDATES'!$BU$2:$BU$63,0))</f>
        <v>0.513327245281025</v>
      </c>
      <c r="K10" s="21" t="n">
        <f aca="false">INDEX('ALL CANDIDATES'!$BL$2:$BL$63,MATCH(LARGE('ALL CANDIDATES'!$BU$2:$BU$63,$A10),'ALL CANDIDATES'!$BU$2:$BU$63,0))</f>
        <v>0.446994338184523</v>
      </c>
      <c r="L10" s="21" t="n">
        <f aca="false">INDEX('ALL CANDIDATES'!$BM$2:$BM$63,MATCH(LARGE('ALL CANDIDATES'!$BU$2:$BU$63,$A10),'ALL CANDIDATES'!$BU$2:$BU$63,0))</f>
        <v>0.928571428571429</v>
      </c>
      <c r="M10" s="21" t="n">
        <f aca="false">INDEX('ALL CANDIDATES'!$BN$2:$BN$63,MATCH(LARGE('ALL CANDIDATES'!$BU$2:$BU$63,$A10),'ALL CANDIDATES'!$BU$2:$BU$63,0))</f>
        <v>0.600770428891321</v>
      </c>
      <c r="N10" s="21" t="n">
        <f aca="false">INDEX('ALL CANDIDATES'!$BO$2:$BO$63,MATCH(LARGE('ALL CANDIDATES'!$BU$2:$BU$63,$A10),'ALL CANDIDATES'!$BU$2:$BU$63,0))</f>
        <v>1</v>
      </c>
      <c r="O10" s="20" t="str">
        <f aca="false">INDEX('ALL CANDIDATES'!$AM$2:$AM$63,MATCH(LARGE('ALL CANDIDATES'!$BU$2:$BU$63,$A10),'ALL CANDIDATES'!$BU$2:$BU$63,0))</f>
        <v>https://www.instagram.com/p/DeCKb4JIGeG/</v>
      </c>
      <c r="P10" s="20" t="str">
        <f aca="false">INDEX('ALL CANDIDATES'!$D$2:$D$63,MATCH(LARGE('ALL CANDIDATES'!$BU$2:$BU$63,$A10),'ALL CANDIDATES'!$BU$2:$BU$63,0))</f>
        <v>https://www.instagram.com/caramelinho.ia/</v>
      </c>
    </row>
    <row r="11" customFormat="false" ht="23.85" hidden="false" customHeight="false" outlineLevel="0" collapsed="false">
      <c r="A11" s="2" t="n">
        <v>10</v>
      </c>
      <c r="B11" s="6" t="str">
        <f aca="false">INDEX('ALL CANDIDATES'!$B$2:$B$63,MATCH(LARGE('ALL CANDIDATES'!$BU$2:$BU$63,$A11),'ALL CANDIDATES'!$BU$2:$BU$63,0))</f>
        <v>Benjamin Stachio</v>
      </c>
      <c r="C11" s="6" t="str">
        <f aca="false">INDEX('ALL CANDIDATES'!$C$2:$C$63,MATCH(LARGE('ALL CANDIDATES'!$BU$2:$BU$63,$A11),'ALL CANDIDATES'!$BU$2:$BU$63,0))</f>
        <v>benjamin_stachio</v>
      </c>
      <c r="D11" s="6" t="str">
        <f aca="false">INDEX('ALL CANDIDATES'!$E$2:$E$63,MATCH(LARGE('ALL CANDIDATES'!$BU$2:$BU$63,$A11),'ALL CANDIDATES'!$BU$2:$BU$63,0))</f>
        <v>SEED</v>
      </c>
      <c r="E11" s="6" t="n">
        <f aca="false">INDEX('ALL CANDIDATES'!$BP$2:$BP$63,MATCH(LARGE('ALL CANDIDATES'!$BU$2:$BU$63,$A11),'ALL CANDIDATES'!$BU$2:$BU$63,0))</f>
        <v>61.7</v>
      </c>
      <c r="F11" s="19" t="n">
        <f aca="false">INDEX('ALL CANDIDATES'!$AE$2:$AE$63,MATCH(LARGE('ALL CANDIDATES'!$BU$2:$BU$63,$A11),'ALL CANDIDATES'!$BU$2:$BU$63,0))</f>
        <v>8999</v>
      </c>
      <c r="G11" s="19" t="n">
        <f aca="false">INDEX('ALL CANDIDATES'!$AL$2:$AL$63,MATCH(LARGE('ALL CANDIDATES'!$BU$2:$BU$63,$A11),'ALL CANDIDATES'!$BU$2:$BU$63,0))</f>
        <v>43249</v>
      </c>
      <c r="H11" s="20" t="n">
        <f aca="false">INDEX('ALL CANDIDATES'!$U$2:$U$63,MATCH(LARGE('ALL CANDIDATES'!$BU$2:$BU$63,$A11),'ALL CANDIDATES'!$BU$2:$BU$63,0))</f>
        <v>12</v>
      </c>
      <c r="I11" s="22" t="n">
        <f aca="false">INDEX('ALL CANDIDATES'!$R$2:$R$63,MATCH(LARGE('ALL CANDIDATES'!$BU$2:$BU$63,$A11),'ALL CANDIDATES'!$BU$2:$BU$63,0))</f>
        <v>46303</v>
      </c>
      <c r="J11" s="21" t="n">
        <f aca="false">INDEX('ALL CANDIDATES'!$BK$2:$BK$63,MATCH(LARGE('ALL CANDIDATES'!$BU$2:$BU$63,$A11),'ALL CANDIDATES'!$BU$2:$BU$63,0))</f>
        <v>0.488548562953966</v>
      </c>
      <c r="K11" s="21" t="n">
        <f aca="false">INDEX('ALL CANDIDATES'!$BL$2:$BL$63,MATCH(LARGE('ALL CANDIDATES'!$BU$2:$BU$63,$A11),'ALL CANDIDATES'!$BU$2:$BU$63,0))</f>
        <v>0.408994017548458</v>
      </c>
      <c r="L11" s="21" t="n">
        <f aca="false">INDEX('ALL CANDIDATES'!$BM$2:$BM$63,MATCH(LARGE('ALL CANDIDATES'!$BU$2:$BU$63,$A11),'ALL CANDIDATES'!$BU$2:$BU$63,0))</f>
        <v>0.857142857142857</v>
      </c>
      <c r="M11" s="21" t="n">
        <f aca="false">INDEX('ALL CANDIDATES'!$BN$2:$BN$63,MATCH(LARGE('ALL CANDIDATES'!$BU$2:$BU$63,$A11),'ALL CANDIDATES'!$BU$2:$BU$63,0))</f>
        <v>0.770222808910222</v>
      </c>
      <c r="N11" s="21" t="n">
        <f aca="false">INDEX('ALL CANDIDATES'!$BO$2:$BO$63,MATCH(LARGE('ALL CANDIDATES'!$BU$2:$BU$63,$A11),'ALL CANDIDATES'!$BU$2:$BU$63,0))</f>
        <v>1</v>
      </c>
      <c r="O11" s="20" t="str">
        <f aca="false">INDEX('ALL CANDIDATES'!$AM$2:$AM$63,MATCH(LARGE('ALL CANDIDATES'!$BU$2:$BU$63,$A11),'ALL CANDIDATES'!$BU$2:$BU$63,0))</f>
        <v>https://www.instagram.com/p/Dd4BE9nMR7M/</v>
      </c>
      <c r="P11" s="20" t="str">
        <f aca="false">INDEX('ALL CANDIDATES'!$D$2:$D$63,MATCH(LARGE('ALL CANDIDATES'!$BU$2:$BU$63,$A11),'ALL CANDIDATES'!$BU$2:$BU$63,0))</f>
        <v>https://www.instagram.com/benjamin_stachio/</v>
      </c>
    </row>
    <row r="13" customFormat="false" ht="15" hidden="false" customHeight="false" outlineLevel="0" collapsed="false">
      <c r="A13" s="10" t="s">
        <v>899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6" min="5" style="0" width="50"/>
    <col collapsed="false" customWidth="true" hidden="false" outlineLevel="0" max="7" min="7" style="0" width="40"/>
    <col collapsed="false" customWidth="true" hidden="false" outlineLevel="0" max="9" min="8" style="0" width="44"/>
    <col collapsed="false" customWidth="true" hidden="false" outlineLevel="0" max="11" min="10" style="0" width="9"/>
    <col collapsed="false" customWidth="true" hidden="false" outlineLevel="0" max="12" min="12" style="0" width="60"/>
  </cols>
  <sheetData>
    <row r="1" customFormat="false" ht="42" hidden="false" customHeight="true" outlineLevel="0" collapsed="false">
      <c r="A1" s="1" t="s">
        <v>199</v>
      </c>
      <c r="B1" s="1" t="s">
        <v>200</v>
      </c>
      <c r="C1" s="1" t="s">
        <v>203</v>
      </c>
      <c r="D1" s="1" t="s">
        <v>900</v>
      </c>
      <c r="E1" s="1" t="s">
        <v>901</v>
      </c>
      <c r="F1" s="1" t="s">
        <v>902</v>
      </c>
      <c r="G1" s="1" t="s">
        <v>903</v>
      </c>
      <c r="H1" s="1" t="s">
        <v>904</v>
      </c>
      <c r="I1" s="1" t="s">
        <v>905</v>
      </c>
      <c r="J1" s="1" t="s">
        <v>906</v>
      </c>
      <c r="K1" s="1" t="s">
        <v>907</v>
      </c>
      <c r="L1" s="1" t="s">
        <v>908</v>
      </c>
    </row>
    <row r="2" customFormat="false" ht="15" hidden="false" customHeight="false" outlineLevel="0" collapsed="false">
      <c r="A2" s="2" t="s">
        <v>36</v>
      </c>
      <c r="B2" s="2" t="s">
        <v>37</v>
      </c>
      <c r="C2" s="2" t="s">
        <v>275</v>
      </c>
      <c r="D2" s="2" t="s">
        <v>909</v>
      </c>
      <c r="E2" s="9"/>
      <c r="F2" s="9"/>
      <c r="G2" s="9" t="s">
        <v>910</v>
      </c>
      <c r="H2" s="9" t="s">
        <v>911</v>
      </c>
      <c r="I2" s="9" t="s">
        <v>912</v>
      </c>
      <c r="J2" s="2" t="n">
        <f aca="false">COUNTIFS($A$67:$A$127,B2,$E$67:$E$127,"character")</f>
        <v>0</v>
      </c>
      <c r="K2" s="2" t="n">
        <f aca="false">COUNTIFS($B$67:$B$127,B2,$E$67:$E$127,"character")</f>
        <v>7</v>
      </c>
      <c r="L2" s="9" t="s">
        <v>913</v>
      </c>
    </row>
    <row r="3" customFormat="false" ht="15" hidden="false" customHeight="false" outlineLevel="0" collapsed="false">
      <c r="A3" s="2" t="s">
        <v>60</v>
      </c>
      <c r="B3" s="2" t="s">
        <v>61</v>
      </c>
      <c r="C3" s="2" t="s">
        <v>275</v>
      </c>
      <c r="D3" s="2" t="s">
        <v>914</v>
      </c>
      <c r="E3" s="9"/>
      <c r="F3" s="9"/>
      <c r="G3" s="9"/>
      <c r="H3" s="9"/>
      <c r="I3" s="9"/>
      <c r="J3" s="2" t="n">
        <f aca="false">COUNTIFS($A$67:$A$127,B3,$E$67:$E$127,"character")</f>
        <v>0</v>
      </c>
      <c r="K3" s="2" t="n">
        <f aca="false">COUNTIFS($B$67:$B$127,B3,$E$67:$E$127,"character")</f>
        <v>0</v>
      </c>
      <c r="L3" s="9" t="s">
        <v>915</v>
      </c>
    </row>
    <row r="4" customFormat="false" ht="23.85" hidden="false" customHeight="false" outlineLevel="0" collapsed="false">
      <c r="A4" s="2" t="s">
        <v>84</v>
      </c>
      <c r="B4" s="2" t="s">
        <v>85</v>
      </c>
      <c r="C4" s="2" t="s">
        <v>275</v>
      </c>
      <c r="D4" s="2" t="s">
        <v>916</v>
      </c>
      <c r="E4" s="9"/>
      <c r="F4" s="9"/>
      <c r="G4" s="9"/>
      <c r="H4" s="9" t="s">
        <v>917</v>
      </c>
      <c r="I4" s="9"/>
      <c r="J4" s="2" t="n">
        <f aca="false">COUNTIFS($A$67:$A$127,B4,$E$67:$E$127,"character")</f>
        <v>0</v>
      </c>
      <c r="K4" s="2" t="n">
        <f aca="false">COUNTIFS($B$67:$B$127,B4,$E$67:$E$127,"character")</f>
        <v>0</v>
      </c>
      <c r="L4" s="9"/>
    </row>
    <row r="5" customFormat="false" ht="35.05" hidden="false" customHeight="false" outlineLevel="0" collapsed="false">
      <c r="A5" s="2" t="s">
        <v>107</v>
      </c>
      <c r="B5" s="2" t="s">
        <v>108</v>
      </c>
      <c r="C5" s="2" t="s">
        <v>275</v>
      </c>
      <c r="D5" s="2" t="s">
        <v>918</v>
      </c>
      <c r="E5" s="9" t="s">
        <v>919</v>
      </c>
      <c r="F5" s="9" t="s">
        <v>920</v>
      </c>
      <c r="G5" s="9" t="s">
        <v>921</v>
      </c>
      <c r="H5" s="9" t="s">
        <v>922</v>
      </c>
      <c r="I5" s="9" t="s">
        <v>923</v>
      </c>
      <c r="J5" s="2" t="n">
        <f aca="false">COUNTIFS($A$67:$A$127,B5,$E$67:$E$127,"character")</f>
        <v>2</v>
      </c>
      <c r="K5" s="2" t="n">
        <f aca="false">COUNTIFS($B$67:$B$127,B5,$E$67:$E$127,"character")</f>
        <v>1</v>
      </c>
      <c r="L5" s="9" t="s">
        <v>924</v>
      </c>
    </row>
    <row r="6" customFormat="false" ht="23.85" hidden="false" customHeight="false" outlineLevel="0" collapsed="false">
      <c r="A6" s="2" t="s">
        <v>130</v>
      </c>
      <c r="B6" s="2" t="s">
        <v>131</v>
      </c>
      <c r="C6" s="2" t="s">
        <v>275</v>
      </c>
      <c r="D6" s="2" t="s">
        <v>925</v>
      </c>
      <c r="E6" s="9"/>
      <c r="F6" s="9" t="s">
        <v>926</v>
      </c>
      <c r="G6" s="9"/>
      <c r="H6" s="9"/>
      <c r="I6" s="9" t="s">
        <v>927</v>
      </c>
      <c r="J6" s="2" t="n">
        <f aca="false">COUNTIFS($A$67:$A$127,B6,$E$67:$E$127,"character")</f>
        <v>0</v>
      </c>
      <c r="K6" s="2" t="n">
        <f aca="false">COUNTIFS($B$67:$B$127,B6,$E$67:$E$127,"character")</f>
        <v>1</v>
      </c>
      <c r="L6" s="9"/>
    </row>
    <row r="7" customFormat="false" ht="15" hidden="false" customHeight="false" outlineLevel="0" collapsed="false">
      <c r="A7" s="2" t="s">
        <v>152</v>
      </c>
      <c r="B7" s="2" t="s">
        <v>153</v>
      </c>
      <c r="C7" s="2" t="s">
        <v>275</v>
      </c>
      <c r="D7" s="2" t="s">
        <v>909</v>
      </c>
      <c r="E7" s="9" t="s">
        <v>928</v>
      </c>
      <c r="F7" s="9"/>
      <c r="G7" s="9" t="s">
        <v>929</v>
      </c>
      <c r="H7" s="9"/>
      <c r="I7" s="9"/>
      <c r="J7" s="2" t="n">
        <f aca="false">COUNTIFS($A$67:$A$127,B7,$E$67:$E$127,"character")</f>
        <v>1</v>
      </c>
      <c r="K7" s="2" t="n">
        <f aca="false">COUNTIFS($B$67:$B$127,B7,$E$67:$E$127,"character")</f>
        <v>0</v>
      </c>
      <c r="L7" s="9" t="s">
        <v>930</v>
      </c>
    </row>
    <row r="8" customFormat="false" ht="15" hidden="false" customHeight="false" outlineLevel="0" collapsed="false">
      <c r="A8" s="2" t="s">
        <v>175</v>
      </c>
      <c r="B8" s="2" t="s">
        <v>176</v>
      </c>
      <c r="C8" s="2" t="s">
        <v>275</v>
      </c>
      <c r="D8" s="2" t="s">
        <v>916</v>
      </c>
      <c r="E8" s="9"/>
      <c r="F8" s="9"/>
      <c r="G8" s="9"/>
      <c r="H8" s="9" t="s">
        <v>931</v>
      </c>
      <c r="I8" s="9" t="s">
        <v>428</v>
      </c>
      <c r="J8" s="2" t="n">
        <f aca="false">COUNTIFS($A$67:$A$127,B8,$E$67:$E$127,"character")</f>
        <v>0</v>
      </c>
      <c r="K8" s="2" t="n">
        <f aca="false">COUNTIFS($B$67:$B$127,B8,$E$67:$E$127,"character")</f>
        <v>0</v>
      </c>
      <c r="L8" s="9"/>
    </row>
    <row r="9" customFormat="false" ht="15" hidden="false" customHeight="false" outlineLevel="0" collapsed="false">
      <c r="A9" s="2" t="s">
        <v>347</v>
      </c>
      <c r="B9" s="2" t="s">
        <v>348</v>
      </c>
      <c r="C9" s="2" t="s">
        <v>275</v>
      </c>
      <c r="D9" s="2" t="s">
        <v>909</v>
      </c>
      <c r="E9" s="9" t="s">
        <v>932</v>
      </c>
      <c r="F9" s="9" t="s">
        <v>933</v>
      </c>
      <c r="G9" s="9"/>
      <c r="H9" s="9" t="s">
        <v>934</v>
      </c>
      <c r="I9" s="9"/>
      <c r="J9" s="2" t="n">
        <f aca="false">COUNTIFS($A$67:$A$127,B9,$E$67:$E$127,"character")</f>
        <v>2</v>
      </c>
      <c r="K9" s="2" t="n">
        <f aca="false">COUNTIFS($B$67:$B$127,B9,$E$67:$E$127,"character")</f>
        <v>1</v>
      </c>
      <c r="L9" s="9" t="s">
        <v>935</v>
      </c>
    </row>
    <row r="10" customFormat="false" ht="23.85" hidden="false" customHeight="false" outlineLevel="0" collapsed="false">
      <c r="A10" s="2" t="s">
        <v>367</v>
      </c>
      <c r="B10" s="2" t="s">
        <v>368</v>
      </c>
      <c r="C10" s="2" t="s">
        <v>275</v>
      </c>
      <c r="D10" s="2" t="s">
        <v>936</v>
      </c>
      <c r="E10" s="9" t="s">
        <v>937</v>
      </c>
      <c r="F10" s="9" t="s">
        <v>938</v>
      </c>
      <c r="G10" s="9"/>
      <c r="H10" s="9"/>
      <c r="I10" s="9"/>
      <c r="J10" s="2" t="n">
        <f aca="false">COUNTIFS($A$67:$A$127,B10,$E$67:$E$127,"character")</f>
        <v>5</v>
      </c>
      <c r="K10" s="2" t="n">
        <f aca="false">COUNTIFS($B$67:$B$127,B10,$E$67:$E$127,"character")</f>
        <v>3</v>
      </c>
      <c r="L10" s="9"/>
    </row>
    <row r="11" customFormat="false" ht="23.85" hidden="false" customHeight="false" outlineLevel="0" collapsed="false">
      <c r="A11" s="2" t="s">
        <v>384</v>
      </c>
      <c r="B11" s="2" t="s">
        <v>385</v>
      </c>
      <c r="C11" s="2" t="s">
        <v>275</v>
      </c>
      <c r="D11" s="2" t="s">
        <v>939</v>
      </c>
      <c r="E11" s="9" t="s">
        <v>940</v>
      </c>
      <c r="F11" s="9" t="s">
        <v>941</v>
      </c>
      <c r="G11" s="9"/>
      <c r="H11" s="9"/>
      <c r="I11" s="9"/>
      <c r="J11" s="2" t="n">
        <f aca="false">COUNTIFS($A$67:$A$127,B11,$E$67:$E$127,"character")</f>
        <v>1</v>
      </c>
      <c r="K11" s="2" t="n">
        <f aca="false">COUNTIFS($B$67:$B$127,B11,$E$67:$E$127,"character")</f>
        <v>2</v>
      </c>
      <c r="L11" s="9"/>
    </row>
    <row r="12" customFormat="false" ht="23.85" hidden="false" customHeight="false" outlineLevel="0" collapsed="false">
      <c r="A12" s="2" t="s">
        <v>399</v>
      </c>
      <c r="B12" s="2" t="s">
        <v>400</v>
      </c>
      <c r="C12" s="2" t="s">
        <v>275</v>
      </c>
      <c r="D12" s="2" t="s">
        <v>939</v>
      </c>
      <c r="E12" s="9" t="s">
        <v>942</v>
      </c>
      <c r="F12" s="9" t="s">
        <v>943</v>
      </c>
      <c r="G12" s="9" t="s">
        <v>944</v>
      </c>
      <c r="H12" s="9" t="s">
        <v>945</v>
      </c>
      <c r="I12" s="9"/>
      <c r="J12" s="2" t="n">
        <f aca="false">COUNTIFS($A$67:$A$127,B12,$E$67:$E$127,"character")</f>
        <v>0</v>
      </c>
      <c r="K12" s="2" t="n">
        <f aca="false">COUNTIFS($B$67:$B$127,B12,$E$67:$E$127,"character")</f>
        <v>6</v>
      </c>
      <c r="L12" s="9"/>
    </row>
    <row r="13" customFormat="false" ht="15" hidden="false" customHeight="false" outlineLevel="0" collapsed="false">
      <c r="A13" s="2" t="s">
        <v>414</v>
      </c>
      <c r="B13" s="2" t="s">
        <v>415</v>
      </c>
      <c r="C13" s="2" t="s">
        <v>275</v>
      </c>
      <c r="D13" s="2" t="s">
        <v>939</v>
      </c>
      <c r="E13" s="9" t="s">
        <v>946</v>
      </c>
      <c r="F13" s="9" t="s">
        <v>947</v>
      </c>
      <c r="G13" s="9" t="s">
        <v>948</v>
      </c>
      <c r="H13" s="9" t="s">
        <v>949</v>
      </c>
      <c r="I13" s="9"/>
      <c r="J13" s="2" t="n">
        <f aca="false">COUNTIFS($A$67:$A$127,B13,$E$67:$E$127,"character")</f>
        <v>2</v>
      </c>
      <c r="K13" s="2" t="n">
        <f aca="false">COUNTIFS($B$67:$B$127,B13,$E$67:$E$127,"character")</f>
        <v>1</v>
      </c>
      <c r="L13" s="9"/>
    </row>
    <row r="14" customFormat="false" ht="15" hidden="false" customHeight="false" outlineLevel="0" collapsed="false">
      <c r="A14" s="2" t="s">
        <v>427</v>
      </c>
      <c r="B14" s="2" t="s">
        <v>428</v>
      </c>
      <c r="C14" s="2" t="s">
        <v>275</v>
      </c>
      <c r="D14" s="2" t="s">
        <v>916</v>
      </c>
      <c r="E14" s="9"/>
      <c r="F14" s="9" t="s">
        <v>926</v>
      </c>
      <c r="G14" s="9" t="s">
        <v>950</v>
      </c>
      <c r="H14" s="9" t="s">
        <v>951</v>
      </c>
      <c r="I14" s="9"/>
      <c r="J14" s="2" t="n">
        <f aca="false">COUNTIFS($A$67:$A$127,B14,$E$67:$E$127,"character")</f>
        <v>0</v>
      </c>
      <c r="K14" s="2" t="n">
        <f aca="false">COUNTIFS($B$67:$B$127,B14,$E$67:$E$127,"character")</f>
        <v>1</v>
      </c>
      <c r="L14" s="9"/>
    </row>
    <row r="15" customFormat="false" ht="15" hidden="false" customHeight="false" outlineLevel="0" collapsed="false">
      <c r="A15" s="2" t="s">
        <v>443</v>
      </c>
      <c r="B15" s="2" t="s">
        <v>444</v>
      </c>
      <c r="C15" s="2" t="s">
        <v>275</v>
      </c>
      <c r="D15" s="2" t="s">
        <v>952</v>
      </c>
      <c r="E15" s="9" t="s">
        <v>953</v>
      </c>
      <c r="F15" s="9" t="s">
        <v>954</v>
      </c>
      <c r="G15" s="9"/>
      <c r="H15" s="9" t="s">
        <v>955</v>
      </c>
      <c r="I15" s="9"/>
      <c r="J15" s="2" t="n">
        <f aca="false">COUNTIFS($A$67:$A$127,B15,$E$67:$E$127,"character")</f>
        <v>2</v>
      </c>
      <c r="K15" s="2" t="n">
        <f aca="false">COUNTIFS($B$67:$B$127,B15,$E$67:$E$127,"character")</f>
        <v>2</v>
      </c>
      <c r="L15" s="9"/>
    </row>
    <row r="16" customFormat="false" ht="15" hidden="false" customHeight="false" outlineLevel="0" collapsed="false">
      <c r="A16" s="2" t="s">
        <v>461</v>
      </c>
      <c r="B16" s="2" t="s">
        <v>462</v>
      </c>
      <c r="C16" s="2" t="s">
        <v>275</v>
      </c>
      <c r="D16" s="2" t="s">
        <v>956</v>
      </c>
      <c r="E16" s="9" t="s">
        <v>957</v>
      </c>
      <c r="F16" s="9" t="s">
        <v>958</v>
      </c>
      <c r="G16" s="9"/>
      <c r="H16" s="9" t="s">
        <v>959</v>
      </c>
      <c r="I16" s="9"/>
      <c r="J16" s="2" t="n">
        <f aca="false">COUNTIFS($A$67:$A$127,B16,$E$67:$E$127,"character")</f>
        <v>2</v>
      </c>
      <c r="K16" s="2" t="n">
        <f aca="false">COUNTIFS($B$67:$B$127,B16,$E$67:$E$127,"character")</f>
        <v>2</v>
      </c>
      <c r="L16" s="9"/>
    </row>
    <row r="17" customFormat="false" ht="15" hidden="false" customHeight="false" outlineLevel="0" collapsed="false">
      <c r="A17" s="2" t="s">
        <v>476</v>
      </c>
      <c r="B17" s="2" t="s">
        <v>477</v>
      </c>
      <c r="C17" s="2" t="s">
        <v>275</v>
      </c>
      <c r="D17" s="2" t="s">
        <v>956</v>
      </c>
      <c r="E17" s="9" t="s">
        <v>960</v>
      </c>
      <c r="F17" s="9" t="s">
        <v>961</v>
      </c>
      <c r="G17" s="9"/>
      <c r="H17" s="9" t="s">
        <v>962</v>
      </c>
      <c r="I17" s="9"/>
      <c r="J17" s="2" t="n">
        <f aca="false">COUNTIFS($A$67:$A$127,B17,$E$67:$E$127,"character")</f>
        <v>2</v>
      </c>
      <c r="K17" s="2" t="n">
        <f aca="false">COUNTIFS($B$67:$B$127,B17,$E$67:$E$127,"character")</f>
        <v>1</v>
      </c>
      <c r="L17" s="9"/>
    </row>
    <row r="18" customFormat="false" ht="15" hidden="false" customHeight="false" outlineLevel="0" collapsed="false">
      <c r="A18" s="2" t="s">
        <v>489</v>
      </c>
      <c r="B18" s="2" t="s">
        <v>490</v>
      </c>
      <c r="C18" s="2" t="s">
        <v>275</v>
      </c>
      <c r="D18" s="2" t="s">
        <v>925</v>
      </c>
      <c r="E18" s="9"/>
      <c r="F18" s="9"/>
      <c r="G18" s="9"/>
      <c r="H18" s="9" t="s">
        <v>498</v>
      </c>
      <c r="I18" s="9"/>
      <c r="J18" s="2" t="n">
        <f aca="false">COUNTIFS($A$67:$A$127,B18,$E$67:$E$127,"character")</f>
        <v>0</v>
      </c>
      <c r="K18" s="2" t="n">
        <f aca="false">COUNTIFS($B$67:$B$127,B18,$E$67:$E$127,"character")</f>
        <v>0</v>
      </c>
      <c r="L18" s="9"/>
    </row>
    <row r="19" customFormat="false" ht="15" hidden="false" customHeight="false" outlineLevel="0" collapsed="false">
      <c r="A19" s="2" t="s">
        <v>503</v>
      </c>
      <c r="B19" s="2" t="s">
        <v>504</v>
      </c>
      <c r="C19" s="2" t="s">
        <v>275</v>
      </c>
      <c r="D19" s="2" t="s">
        <v>925</v>
      </c>
      <c r="E19" s="9"/>
      <c r="F19" s="9"/>
      <c r="G19" s="9"/>
      <c r="H19" s="9"/>
      <c r="I19" s="9"/>
      <c r="J19" s="2" t="n">
        <f aca="false">COUNTIFS($A$67:$A$127,B19,$E$67:$E$127,"character")</f>
        <v>0</v>
      </c>
      <c r="K19" s="2" t="n">
        <f aca="false">COUNTIFS($B$67:$B$127,B19,$E$67:$E$127,"character")</f>
        <v>0</v>
      </c>
      <c r="L19" s="9" t="s">
        <v>963</v>
      </c>
    </row>
    <row r="20" customFormat="false" ht="15" hidden="false" customHeight="false" outlineLevel="0" collapsed="false">
      <c r="A20" s="2" t="s">
        <v>517</v>
      </c>
      <c r="B20" s="2" t="s">
        <v>518</v>
      </c>
      <c r="C20" s="2" t="s">
        <v>275</v>
      </c>
      <c r="D20" s="2" t="s">
        <v>909</v>
      </c>
      <c r="E20" s="9" t="s">
        <v>964</v>
      </c>
      <c r="F20" s="9"/>
      <c r="G20" s="9"/>
      <c r="H20" s="9" t="s">
        <v>965</v>
      </c>
      <c r="I20" s="9"/>
      <c r="J20" s="2" t="n">
        <f aca="false">COUNTIFS($A$67:$A$127,B20,$E$67:$E$127,"character")</f>
        <v>1</v>
      </c>
      <c r="K20" s="2" t="n">
        <f aca="false">COUNTIFS($B$67:$B$127,B20,$E$67:$E$127,"character")</f>
        <v>0</v>
      </c>
      <c r="L20" s="9" t="s">
        <v>966</v>
      </c>
    </row>
    <row r="21" customFormat="false" ht="15" hidden="false" customHeight="false" outlineLevel="0" collapsed="false">
      <c r="A21" s="2" t="s">
        <v>532</v>
      </c>
      <c r="B21" s="2" t="s">
        <v>533</v>
      </c>
      <c r="C21" s="2" t="s">
        <v>275</v>
      </c>
      <c r="D21" s="2"/>
      <c r="E21" s="9"/>
      <c r="F21" s="9"/>
      <c r="G21" s="9"/>
      <c r="H21" s="9"/>
      <c r="I21" s="9"/>
      <c r="J21" s="2" t="n">
        <f aca="false">COUNTIFS($A$67:$A$127,B21,$E$67:$E$127,"character")</f>
        <v>0</v>
      </c>
      <c r="K21" s="2" t="n">
        <f aca="false">COUNTIFS($B$67:$B$127,B21,$E$67:$E$127,"character")</f>
        <v>0</v>
      </c>
      <c r="L21" s="9"/>
    </row>
    <row r="22" customFormat="false" ht="15" hidden="false" customHeight="false" outlineLevel="0" collapsed="false">
      <c r="A22" s="2" t="s">
        <v>544</v>
      </c>
      <c r="B22" s="2" t="s">
        <v>545</v>
      </c>
      <c r="C22" s="2" t="s">
        <v>275</v>
      </c>
      <c r="D22" s="2"/>
      <c r="E22" s="9"/>
      <c r="F22" s="9"/>
      <c r="G22" s="9"/>
      <c r="H22" s="9"/>
      <c r="I22" s="9"/>
      <c r="J22" s="2" t="n">
        <f aca="false">COUNTIFS($A$67:$A$127,B22,$E$67:$E$127,"character")</f>
        <v>0</v>
      </c>
      <c r="K22" s="2" t="n">
        <f aca="false">COUNTIFS($B$67:$B$127,B22,$E$67:$E$127,"character")</f>
        <v>0</v>
      </c>
      <c r="L22" s="9"/>
    </row>
    <row r="23" customFormat="false" ht="23.85" hidden="false" customHeight="false" outlineLevel="0" collapsed="false">
      <c r="A23" s="2" t="s">
        <v>555</v>
      </c>
      <c r="B23" s="2" t="s">
        <v>556</v>
      </c>
      <c r="C23" s="2" t="s">
        <v>275</v>
      </c>
      <c r="D23" s="2" t="s">
        <v>967</v>
      </c>
      <c r="E23" s="9" t="s">
        <v>564</v>
      </c>
      <c r="F23" s="9"/>
      <c r="G23" s="9"/>
      <c r="H23" s="9"/>
      <c r="I23" s="9"/>
      <c r="J23" s="2" t="n">
        <f aca="false">COUNTIFS($A$67:$A$127,B23,$E$67:$E$127,"character")</f>
        <v>4</v>
      </c>
      <c r="K23" s="2" t="n">
        <f aca="false">COUNTIFS($B$67:$B$127,B23,$E$67:$E$127,"character")</f>
        <v>0</v>
      </c>
      <c r="L23" s="9"/>
    </row>
    <row r="24" customFormat="false" ht="15" hidden="false" customHeight="false" outlineLevel="0" collapsed="false">
      <c r="A24" s="2" t="s">
        <v>568</v>
      </c>
      <c r="B24" s="2" t="s">
        <v>569</v>
      </c>
      <c r="C24" s="2" t="s">
        <v>275</v>
      </c>
      <c r="D24" s="2"/>
      <c r="E24" s="9"/>
      <c r="F24" s="9"/>
      <c r="G24" s="9"/>
      <c r="H24" s="9"/>
      <c r="I24" s="9"/>
      <c r="J24" s="2" t="n">
        <f aca="false">COUNTIFS($A$67:$A$127,B24,$E$67:$E$127,"character")</f>
        <v>0</v>
      </c>
      <c r="K24" s="2" t="n">
        <f aca="false">COUNTIFS($B$67:$B$127,B24,$E$67:$E$127,"character")</f>
        <v>0</v>
      </c>
      <c r="L24" s="9"/>
    </row>
    <row r="25" customFormat="false" ht="15" hidden="false" customHeight="false" outlineLevel="0" collapsed="false">
      <c r="A25" s="2" t="s">
        <v>581</v>
      </c>
      <c r="B25" s="2" t="s">
        <v>582</v>
      </c>
      <c r="C25" s="2" t="s">
        <v>275</v>
      </c>
      <c r="D25" s="2" t="s">
        <v>916</v>
      </c>
      <c r="E25" s="9"/>
      <c r="F25" s="9"/>
      <c r="G25" s="9"/>
      <c r="H25" s="9"/>
      <c r="I25" s="9"/>
      <c r="J25" s="2" t="n">
        <f aca="false">COUNTIFS($A$67:$A$127,B25,$E$67:$E$127,"character")</f>
        <v>0</v>
      </c>
      <c r="K25" s="2" t="n">
        <f aca="false">COUNTIFS($B$67:$B$127,B25,$E$67:$E$127,"character")</f>
        <v>0</v>
      </c>
      <c r="L25" s="9" t="s">
        <v>968</v>
      </c>
    </row>
    <row r="26" customFormat="false" ht="15" hidden="false" customHeight="false" outlineLevel="0" collapsed="false">
      <c r="A26" s="2" t="s">
        <v>593</v>
      </c>
      <c r="B26" s="2" t="s">
        <v>594</v>
      </c>
      <c r="C26" s="2" t="s">
        <v>275</v>
      </c>
      <c r="D26" s="2" t="s">
        <v>969</v>
      </c>
      <c r="E26" s="9" t="s">
        <v>970</v>
      </c>
      <c r="F26" s="9"/>
      <c r="G26" s="9"/>
      <c r="H26" s="9" t="s">
        <v>971</v>
      </c>
      <c r="I26" s="9"/>
      <c r="J26" s="2" t="n">
        <f aca="false">COUNTIFS($A$67:$A$127,B26,$E$67:$E$127,"character")</f>
        <v>1</v>
      </c>
      <c r="K26" s="2" t="n">
        <f aca="false">COUNTIFS($B$67:$B$127,B26,$E$67:$E$127,"character")</f>
        <v>0</v>
      </c>
      <c r="L26" s="9" t="s">
        <v>972</v>
      </c>
    </row>
    <row r="27" customFormat="false" ht="15" hidden="false" customHeight="false" outlineLevel="0" collapsed="false">
      <c r="A27" s="2" t="s">
        <v>610</v>
      </c>
      <c r="B27" s="2" t="s">
        <v>611</v>
      </c>
      <c r="C27" s="2" t="s">
        <v>275</v>
      </c>
      <c r="D27" s="2" t="s">
        <v>969</v>
      </c>
      <c r="E27" s="9"/>
      <c r="F27" s="9" t="s">
        <v>973</v>
      </c>
      <c r="G27" s="9"/>
      <c r="H27" s="9"/>
      <c r="I27" s="9"/>
      <c r="J27" s="2" t="n">
        <f aca="false">COUNTIFS($A$67:$A$127,B27,$E$67:$E$127,"character")</f>
        <v>0</v>
      </c>
      <c r="K27" s="2" t="n">
        <f aca="false">COUNTIFS($B$67:$B$127,B27,$E$67:$E$127,"character")</f>
        <v>1</v>
      </c>
      <c r="L27" s="9"/>
    </row>
    <row r="28" customFormat="false" ht="15" hidden="false" customHeight="false" outlineLevel="0" collapsed="false">
      <c r="A28" s="2" t="s">
        <v>624</v>
      </c>
      <c r="B28" s="2" t="s">
        <v>625</v>
      </c>
      <c r="C28" s="2" t="s">
        <v>275</v>
      </c>
      <c r="D28" s="2" t="s">
        <v>939</v>
      </c>
      <c r="E28" s="9" t="s">
        <v>974</v>
      </c>
      <c r="F28" s="9" t="s">
        <v>947</v>
      </c>
      <c r="G28" s="9" t="s">
        <v>975</v>
      </c>
      <c r="H28" s="9" t="s">
        <v>976</v>
      </c>
      <c r="I28" s="9"/>
      <c r="J28" s="2" t="n">
        <f aca="false">COUNTIFS($A$67:$A$127,B28,$E$67:$E$127,"character")</f>
        <v>1</v>
      </c>
      <c r="K28" s="2" t="n">
        <f aca="false">COUNTIFS($B$67:$B$127,B28,$E$67:$E$127,"character")</f>
        <v>1</v>
      </c>
      <c r="L28" s="9"/>
    </row>
    <row r="29" customFormat="false" ht="15" hidden="false" customHeight="false" outlineLevel="0" collapsed="false">
      <c r="A29" s="2" t="s">
        <v>637</v>
      </c>
      <c r="B29" s="2" t="s">
        <v>638</v>
      </c>
      <c r="C29" s="2" t="s">
        <v>275</v>
      </c>
      <c r="D29" s="2" t="s">
        <v>977</v>
      </c>
      <c r="E29" s="9"/>
      <c r="F29" s="9"/>
      <c r="G29" s="9" t="s">
        <v>978</v>
      </c>
      <c r="H29" s="9" t="s">
        <v>979</v>
      </c>
      <c r="I29" s="9"/>
      <c r="J29" s="2" t="n">
        <f aca="false">COUNTIFS($A$67:$A$127,B29,$E$67:$E$127,"character")</f>
        <v>0</v>
      </c>
      <c r="K29" s="2" t="n">
        <f aca="false">COUNTIFS($B$67:$B$127,B29,$E$67:$E$127,"character")</f>
        <v>0</v>
      </c>
      <c r="L29" s="9"/>
    </row>
    <row r="30" customFormat="false" ht="15" hidden="false" customHeight="false" outlineLevel="0" collapsed="false">
      <c r="A30" s="2" t="s">
        <v>654</v>
      </c>
      <c r="B30" s="2" t="s">
        <v>655</v>
      </c>
      <c r="C30" s="2" t="s">
        <v>275</v>
      </c>
      <c r="D30" s="2" t="s">
        <v>980</v>
      </c>
      <c r="E30" s="9" t="s">
        <v>981</v>
      </c>
      <c r="F30" s="9" t="s">
        <v>982</v>
      </c>
      <c r="G30" s="9" t="s">
        <v>983</v>
      </c>
      <c r="H30" s="9" t="s">
        <v>984</v>
      </c>
      <c r="I30" s="9"/>
      <c r="J30" s="2" t="n">
        <f aca="false">COUNTIFS($A$67:$A$127,B30,$E$67:$E$127,"character")</f>
        <v>2</v>
      </c>
      <c r="K30" s="2" t="n">
        <f aca="false">COUNTIFS($B$67:$B$127,B30,$E$67:$E$127,"character")</f>
        <v>1</v>
      </c>
      <c r="L30" s="9"/>
    </row>
    <row r="31" customFormat="false" ht="15" hidden="false" customHeight="false" outlineLevel="0" collapsed="false">
      <c r="A31" s="2" t="s">
        <v>668</v>
      </c>
      <c r="B31" s="2" t="s">
        <v>669</v>
      </c>
      <c r="C31" s="2" t="s">
        <v>275</v>
      </c>
      <c r="D31" s="2" t="s">
        <v>980</v>
      </c>
      <c r="E31" s="9" t="s">
        <v>985</v>
      </c>
      <c r="F31" s="9" t="s">
        <v>986</v>
      </c>
      <c r="G31" s="9"/>
      <c r="H31" s="9" t="s">
        <v>987</v>
      </c>
      <c r="I31" s="9"/>
      <c r="J31" s="2" t="n">
        <f aca="false">COUNTIFS($A$67:$A$127,B31,$E$67:$E$127,"character")</f>
        <v>2</v>
      </c>
      <c r="K31" s="2" t="n">
        <f aca="false">COUNTIFS($B$67:$B$127,B31,$E$67:$E$127,"character")</f>
        <v>1</v>
      </c>
      <c r="L31" s="9"/>
    </row>
    <row r="32" customFormat="false" ht="15" hidden="false" customHeight="false" outlineLevel="0" collapsed="false">
      <c r="A32" s="2" t="s">
        <v>681</v>
      </c>
      <c r="B32" s="2" t="s">
        <v>682</v>
      </c>
      <c r="C32" s="2" t="s">
        <v>275</v>
      </c>
      <c r="D32" s="2" t="s">
        <v>988</v>
      </c>
      <c r="E32" s="9"/>
      <c r="F32" s="9"/>
      <c r="G32" s="9" t="s">
        <v>989</v>
      </c>
      <c r="H32" s="9"/>
      <c r="I32" s="9"/>
      <c r="J32" s="2" t="n">
        <f aca="false">COUNTIFS($A$67:$A$127,B32,$E$67:$E$127,"character")</f>
        <v>0</v>
      </c>
      <c r="K32" s="2" t="n">
        <f aca="false">COUNTIFS($B$67:$B$127,B32,$E$67:$E$127,"character")</f>
        <v>0</v>
      </c>
      <c r="L32" s="9"/>
    </row>
    <row r="33" customFormat="false" ht="15" hidden="false" customHeight="false" outlineLevel="0" collapsed="false">
      <c r="A33" s="2" t="s">
        <v>695</v>
      </c>
      <c r="B33" s="2" t="s">
        <v>696</v>
      </c>
      <c r="C33" s="2" t="s">
        <v>275</v>
      </c>
      <c r="D33" s="2" t="s">
        <v>990</v>
      </c>
      <c r="E33" s="9"/>
      <c r="F33" s="9"/>
      <c r="G33" s="9"/>
      <c r="H33" s="9" t="s">
        <v>991</v>
      </c>
      <c r="I33" s="9"/>
      <c r="J33" s="2" t="n">
        <f aca="false">COUNTIFS($A$67:$A$127,B33,$E$67:$E$127,"character")</f>
        <v>0</v>
      </c>
      <c r="K33" s="2" t="n">
        <f aca="false">COUNTIFS($B$67:$B$127,B33,$E$67:$E$127,"character")</f>
        <v>0</v>
      </c>
      <c r="L33" s="9"/>
    </row>
    <row r="34" customFormat="false" ht="15" hidden="false" customHeight="false" outlineLevel="0" collapsed="false">
      <c r="A34" s="2" t="s">
        <v>708</v>
      </c>
      <c r="B34" s="2" t="s">
        <v>709</v>
      </c>
      <c r="C34" s="2" t="s">
        <v>275</v>
      </c>
      <c r="D34" s="2" t="s">
        <v>977</v>
      </c>
      <c r="E34" s="9"/>
      <c r="F34" s="9"/>
      <c r="G34" s="9"/>
      <c r="H34" s="9" t="s">
        <v>992</v>
      </c>
      <c r="I34" s="9"/>
      <c r="J34" s="2" t="n">
        <f aca="false">COUNTIFS($A$67:$A$127,B34,$E$67:$E$127,"character")</f>
        <v>0</v>
      </c>
      <c r="K34" s="2" t="n">
        <f aca="false">COUNTIFS($B$67:$B$127,B34,$E$67:$E$127,"character")</f>
        <v>0</v>
      </c>
      <c r="L34" s="9"/>
    </row>
    <row r="35" customFormat="false" ht="15" hidden="false" customHeight="false" outlineLevel="0" collapsed="false">
      <c r="A35" s="2" t="s">
        <v>721</v>
      </c>
      <c r="B35" s="2" t="s">
        <v>722</v>
      </c>
      <c r="C35" s="2" t="s">
        <v>275</v>
      </c>
      <c r="D35" s="2" t="s">
        <v>993</v>
      </c>
      <c r="E35" s="9" t="s">
        <v>729</v>
      </c>
      <c r="F35" s="9"/>
      <c r="G35" s="9"/>
      <c r="H35" s="9"/>
      <c r="I35" s="9"/>
      <c r="J35" s="2" t="n">
        <f aca="false">COUNTIFS($A$67:$A$127,B35,$E$67:$E$127,"character")</f>
        <v>1</v>
      </c>
      <c r="K35" s="2" t="n">
        <f aca="false">COUNTIFS($B$67:$B$127,B35,$E$67:$E$127,"character")</f>
        <v>0</v>
      </c>
      <c r="L35" s="9"/>
    </row>
    <row r="36" customFormat="false" ht="15" hidden="false" customHeight="false" outlineLevel="0" collapsed="false">
      <c r="A36" s="2" t="s">
        <v>735</v>
      </c>
      <c r="B36" s="2" t="s">
        <v>736</v>
      </c>
      <c r="C36" s="2" t="s">
        <v>275</v>
      </c>
      <c r="D36" s="2" t="s">
        <v>977</v>
      </c>
      <c r="E36" s="9"/>
      <c r="F36" s="9"/>
      <c r="G36" s="9"/>
      <c r="H36" s="9" t="s">
        <v>994</v>
      </c>
      <c r="I36" s="9"/>
      <c r="J36" s="2" t="n">
        <f aca="false">COUNTIFS($A$67:$A$127,B36,$E$67:$E$127,"character")</f>
        <v>0</v>
      </c>
      <c r="K36" s="2" t="n">
        <f aca="false">COUNTIFS($B$67:$B$127,B36,$E$67:$E$127,"character")</f>
        <v>0</v>
      </c>
      <c r="L36" s="9"/>
    </row>
    <row r="37" customFormat="false" ht="15" hidden="false" customHeight="false" outlineLevel="0" collapsed="false">
      <c r="A37" s="2" t="s">
        <v>747</v>
      </c>
      <c r="B37" s="2" t="s">
        <v>748</v>
      </c>
      <c r="C37" s="2" t="s">
        <v>275</v>
      </c>
      <c r="D37" s="2" t="s">
        <v>995</v>
      </c>
      <c r="E37" s="9" t="s">
        <v>996</v>
      </c>
      <c r="F37" s="9"/>
      <c r="G37" s="9"/>
      <c r="H37" s="9" t="s">
        <v>997</v>
      </c>
      <c r="I37" s="9"/>
      <c r="J37" s="2" t="n">
        <f aca="false">COUNTIFS($A$67:$A$127,B37,$E$67:$E$127,"character")</f>
        <v>1</v>
      </c>
      <c r="K37" s="2" t="n">
        <f aca="false">COUNTIFS($B$67:$B$127,B37,$E$67:$E$127,"character")</f>
        <v>0</v>
      </c>
      <c r="L37" s="9"/>
    </row>
    <row r="38" customFormat="false" ht="15" hidden="false" customHeight="false" outlineLevel="0" collapsed="false">
      <c r="A38" s="2" t="s">
        <v>759</v>
      </c>
      <c r="B38" s="2" t="s">
        <v>760</v>
      </c>
      <c r="C38" s="2" t="s">
        <v>275</v>
      </c>
      <c r="D38" s="2"/>
      <c r="E38" s="9"/>
      <c r="F38" s="9"/>
      <c r="G38" s="9"/>
      <c r="H38" s="9"/>
      <c r="I38" s="9"/>
      <c r="J38" s="2" t="n">
        <f aca="false">COUNTIFS($A$67:$A$127,B38,$E$67:$E$127,"character")</f>
        <v>0</v>
      </c>
      <c r="K38" s="2" t="n">
        <f aca="false">COUNTIFS($B$67:$B$127,B38,$E$67:$E$127,"character")</f>
        <v>0</v>
      </c>
      <c r="L38" s="9"/>
    </row>
    <row r="39" customFormat="false" ht="15" hidden="false" customHeight="false" outlineLevel="0" collapsed="false">
      <c r="A39" s="2" t="s">
        <v>773</v>
      </c>
      <c r="B39" s="2" t="s">
        <v>774</v>
      </c>
      <c r="C39" s="2" t="s">
        <v>275</v>
      </c>
      <c r="D39" s="2" t="s">
        <v>998</v>
      </c>
      <c r="E39" s="9"/>
      <c r="F39" s="9"/>
      <c r="G39" s="9" t="s">
        <v>999</v>
      </c>
      <c r="H39" s="9" t="s">
        <v>1000</v>
      </c>
      <c r="I39" s="9"/>
      <c r="J39" s="2" t="n">
        <f aca="false">COUNTIFS($A$67:$A$127,B39,$E$67:$E$127,"character")</f>
        <v>0</v>
      </c>
      <c r="K39" s="2" t="n">
        <f aca="false">COUNTIFS($B$67:$B$127,B39,$E$67:$E$127,"character")</f>
        <v>0</v>
      </c>
      <c r="L39" s="9"/>
    </row>
    <row r="40" customFormat="false" ht="15" hidden="false" customHeight="false" outlineLevel="0" collapsed="false">
      <c r="A40" s="2" t="s">
        <v>789</v>
      </c>
      <c r="B40" s="2" t="s">
        <v>790</v>
      </c>
      <c r="C40" s="2" t="s">
        <v>793</v>
      </c>
      <c r="D40" s="2" t="s">
        <v>909</v>
      </c>
      <c r="E40" s="9" t="s">
        <v>796</v>
      </c>
      <c r="F40" s="9"/>
      <c r="G40" s="9"/>
      <c r="H40" s="9"/>
      <c r="I40" s="9"/>
      <c r="J40" s="2" t="n">
        <f aca="false">COUNTIFS($A$67:$A$127,B40,$E$67:$E$127,"character")</f>
        <v>1</v>
      </c>
      <c r="K40" s="2" t="n">
        <f aca="false">COUNTIFS($B$67:$B$127,B40,$E$67:$E$127,"character")</f>
        <v>0</v>
      </c>
      <c r="L40" s="9"/>
    </row>
    <row r="41" customFormat="false" ht="15" hidden="false" customHeight="false" outlineLevel="0" collapsed="false">
      <c r="A41" s="2" t="s">
        <v>797</v>
      </c>
      <c r="B41" s="2" t="s">
        <v>798</v>
      </c>
      <c r="C41" s="2" t="s">
        <v>793</v>
      </c>
      <c r="D41" s="2" t="s">
        <v>909</v>
      </c>
      <c r="E41" s="9" t="s">
        <v>1001</v>
      </c>
      <c r="F41" s="9"/>
      <c r="G41" s="9"/>
      <c r="H41" s="9"/>
      <c r="I41" s="9"/>
      <c r="J41" s="2" t="n">
        <f aca="false">COUNTIFS($A$67:$A$127,B41,$E$67:$E$127,"character")</f>
        <v>1</v>
      </c>
      <c r="K41" s="2" t="n">
        <f aca="false">COUNTIFS($B$67:$B$127,B41,$E$67:$E$127,"character")</f>
        <v>0</v>
      </c>
      <c r="L41" s="9"/>
    </row>
    <row r="42" customFormat="false" ht="15" hidden="false" customHeight="false" outlineLevel="0" collapsed="false">
      <c r="A42" s="2" t="s">
        <v>803</v>
      </c>
      <c r="B42" s="2" t="s">
        <v>804</v>
      </c>
      <c r="C42" s="2" t="s">
        <v>793</v>
      </c>
      <c r="D42" s="2" t="s">
        <v>952</v>
      </c>
      <c r="E42" s="9" t="s">
        <v>808</v>
      </c>
      <c r="F42" s="9" t="s">
        <v>1002</v>
      </c>
      <c r="G42" s="9"/>
      <c r="H42" s="9"/>
      <c r="I42" s="9"/>
      <c r="J42" s="2" t="n">
        <f aca="false">COUNTIFS($A$67:$A$127,B42,$E$67:$E$127,"character")</f>
        <v>2</v>
      </c>
      <c r="K42" s="2" t="n">
        <f aca="false">COUNTIFS($B$67:$B$127,B42,$E$67:$E$127,"character")</f>
        <v>1</v>
      </c>
      <c r="L42" s="9"/>
    </row>
    <row r="43" customFormat="false" ht="15" hidden="false" customHeight="false" outlineLevel="0" collapsed="false">
      <c r="A43" s="2" t="s">
        <v>809</v>
      </c>
      <c r="B43" s="2" t="s">
        <v>810</v>
      </c>
      <c r="C43" s="2" t="s">
        <v>793</v>
      </c>
      <c r="D43" s="2"/>
      <c r="E43" s="9"/>
      <c r="F43" s="9"/>
      <c r="G43" s="9"/>
      <c r="H43" s="9"/>
      <c r="I43" s="9"/>
      <c r="J43" s="2" t="n">
        <f aca="false">COUNTIFS($A$67:$A$127,B43,$E$67:$E$127,"character")</f>
        <v>0</v>
      </c>
      <c r="K43" s="2" t="n">
        <f aca="false">COUNTIFS($B$67:$B$127,B43,$E$67:$E$127,"character")</f>
        <v>0</v>
      </c>
      <c r="L43" s="9"/>
    </row>
    <row r="44" customFormat="false" ht="15" hidden="false" customHeight="false" outlineLevel="0" collapsed="false">
      <c r="A44" s="2" t="s">
        <v>814</v>
      </c>
      <c r="B44" s="2" t="s">
        <v>815</v>
      </c>
      <c r="C44" s="2" t="s">
        <v>793</v>
      </c>
      <c r="D44" s="2"/>
      <c r="E44" s="9"/>
      <c r="F44" s="9"/>
      <c r="G44" s="9"/>
      <c r="H44" s="9"/>
      <c r="I44" s="9"/>
      <c r="J44" s="2" t="n">
        <f aca="false">COUNTIFS($A$67:$A$127,B44,$E$67:$E$127,"character")</f>
        <v>0</v>
      </c>
      <c r="K44" s="2" t="n">
        <f aca="false">COUNTIFS($B$67:$B$127,B44,$E$67:$E$127,"character")</f>
        <v>0</v>
      </c>
      <c r="L44" s="9"/>
    </row>
    <row r="45" customFormat="false" ht="15" hidden="false" customHeight="false" outlineLevel="0" collapsed="false">
      <c r="A45" s="2" t="s">
        <v>819</v>
      </c>
      <c r="B45" s="2" t="s">
        <v>820</v>
      </c>
      <c r="C45" s="2" t="s">
        <v>793</v>
      </c>
      <c r="D45" s="2"/>
      <c r="E45" s="9"/>
      <c r="F45" s="9"/>
      <c r="G45" s="9"/>
      <c r="H45" s="9"/>
      <c r="I45" s="9"/>
      <c r="J45" s="2" t="n">
        <f aca="false">COUNTIFS($A$67:$A$127,B45,$E$67:$E$127,"character")</f>
        <v>0</v>
      </c>
      <c r="K45" s="2" t="n">
        <f aca="false">COUNTIFS($B$67:$B$127,B45,$E$67:$E$127,"character")</f>
        <v>0</v>
      </c>
      <c r="L45" s="9"/>
    </row>
    <row r="46" customFormat="false" ht="15" hidden="false" customHeight="false" outlineLevel="0" collapsed="false">
      <c r="A46" s="2" t="s">
        <v>823</v>
      </c>
      <c r="B46" s="2" t="s">
        <v>824</v>
      </c>
      <c r="C46" s="2" t="s">
        <v>793</v>
      </c>
      <c r="D46" s="2"/>
      <c r="E46" s="9"/>
      <c r="F46" s="9"/>
      <c r="G46" s="9"/>
      <c r="H46" s="9"/>
      <c r="I46" s="9"/>
      <c r="J46" s="2" t="n">
        <f aca="false">COUNTIFS($A$67:$A$127,B46,$E$67:$E$127,"character")</f>
        <v>0</v>
      </c>
      <c r="K46" s="2" t="n">
        <f aca="false">COUNTIFS($B$67:$B$127,B46,$E$67:$E$127,"character")</f>
        <v>0</v>
      </c>
      <c r="L46" s="9"/>
    </row>
    <row r="47" customFormat="false" ht="15" hidden="false" customHeight="false" outlineLevel="0" collapsed="false">
      <c r="A47" s="2" t="s">
        <v>827</v>
      </c>
      <c r="B47" s="2" t="s">
        <v>828</v>
      </c>
      <c r="C47" s="2" t="s">
        <v>793</v>
      </c>
      <c r="D47" s="2"/>
      <c r="E47" s="9"/>
      <c r="F47" s="9"/>
      <c r="G47" s="9"/>
      <c r="H47" s="9"/>
      <c r="I47" s="9"/>
      <c r="J47" s="2" t="n">
        <f aca="false">COUNTIFS($A$67:$A$127,B47,$E$67:$E$127,"character")</f>
        <v>0</v>
      </c>
      <c r="K47" s="2" t="n">
        <f aca="false">COUNTIFS($B$67:$B$127,B47,$E$67:$E$127,"character")</f>
        <v>0</v>
      </c>
      <c r="L47" s="9"/>
    </row>
    <row r="48" customFormat="false" ht="15" hidden="false" customHeight="false" outlineLevel="0" collapsed="false">
      <c r="A48" s="2" t="s">
        <v>831</v>
      </c>
      <c r="B48" s="2" t="s">
        <v>832</v>
      </c>
      <c r="C48" s="2" t="s">
        <v>793</v>
      </c>
      <c r="D48" s="2"/>
      <c r="E48" s="9"/>
      <c r="F48" s="9"/>
      <c r="G48" s="9"/>
      <c r="H48" s="9"/>
      <c r="I48" s="9"/>
      <c r="J48" s="2" t="n">
        <f aca="false">COUNTIFS($A$67:$A$127,B48,$E$67:$E$127,"character")</f>
        <v>0</v>
      </c>
      <c r="K48" s="2" t="n">
        <f aca="false">COUNTIFS($B$67:$B$127,B48,$E$67:$E$127,"character")</f>
        <v>0</v>
      </c>
      <c r="L48" s="9"/>
    </row>
    <row r="49" customFormat="false" ht="15" hidden="false" customHeight="false" outlineLevel="0" collapsed="false">
      <c r="A49" s="2" t="s">
        <v>835</v>
      </c>
      <c r="B49" s="2" t="s">
        <v>836</v>
      </c>
      <c r="C49" s="2" t="s">
        <v>838</v>
      </c>
      <c r="D49" s="2"/>
      <c r="E49" s="9"/>
      <c r="F49" s="9"/>
      <c r="G49" s="9"/>
      <c r="H49" s="9"/>
      <c r="I49" s="9"/>
      <c r="J49" s="2" t="n">
        <f aca="false">COUNTIFS($A$67:$A$127,B49,$E$67:$E$127,"character")</f>
        <v>0</v>
      </c>
      <c r="K49" s="2" t="n">
        <f aca="false">COUNTIFS($B$67:$B$127,B49,$E$67:$E$127,"character")</f>
        <v>0</v>
      </c>
      <c r="L49" s="9"/>
    </row>
    <row r="50" customFormat="false" ht="15" hidden="false" customHeight="false" outlineLevel="0" collapsed="false">
      <c r="A50" s="2" t="s">
        <v>840</v>
      </c>
      <c r="B50" s="2" t="s">
        <v>841</v>
      </c>
      <c r="C50" s="2" t="s">
        <v>838</v>
      </c>
      <c r="D50" s="2" t="s">
        <v>1003</v>
      </c>
      <c r="E50" s="9" t="s">
        <v>796</v>
      </c>
      <c r="F50" s="9"/>
      <c r="G50" s="9"/>
      <c r="H50" s="9"/>
      <c r="I50" s="9"/>
      <c r="J50" s="2" t="n">
        <f aca="false">COUNTIFS($A$67:$A$127,B50,$E$67:$E$127,"character")</f>
        <v>1</v>
      </c>
      <c r="K50" s="2" t="n">
        <f aca="false">COUNTIFS($B$67:$B$127,B50,$E$67:$E$127,"character")</f>
        <v>0</v>
      </c>
      <c r="L50" s="9"/>
    </row>
    <row r="51" customFormat="false" ht="15" hidden="false" customHeight="false" outlineLevel="0" collapsed="false">
      <c r="A51" s="2" t="s">
        <v>844</v>
      </c>
      <c r="B51" s="2" t="s">
        <v>845</v>
      </c>
      <c r="C51" s="2" t="s">
        <v>838</v>
      </c>
      <c r="D51" s="2"/>
      <c r="E51" s="9"/>
      <c r="F51" s="9"/>
      <c r="G51" s="9"/>
      <c r="H51" s="9"/>
      <c r="I51" s="9"/>
      <c r="J51" s="2" t="n">
        <f aca="false">COUNTIFS($A$67:$A$127,B51,$E$67:$E$127,"character")</f>
        <v>0</v>
      </c>
      <c r="K51" s="2" t="n">
        <f aca="false">COUNTIFS($B$67:$B$127,B51,$E$67:$E$127,"character")</f>
        <v>0</v>
      </c>
      <c r="L51" s="9"/>
    </row>
    <row r="52" customFormat="false" ht="15" hidden="false" customHeight="false" outlineLevel="0" collapsed="false">
      <c r="A52" s="2" t="s">
        <v>848</v>
      </c>
      <c r="B52" s="2" t="s">
        <v>849</v>
      </c>
      <c r="C52" s="2" t="s">
        <v>838</v>
      </c>
      <c r="D52" s="2"/>
      <c r="E52" s="9"/>
      <c r="F52" s="9"/>
      <c r="G52" s="9"/>
      <c r="H52" s="9"/>
      <c r="I52" s="9"/>
      <c r="J52" s="2" t="n">
        <f aca="false">COUNTIFS($A$67:$A$127,B52,$E$67:$E$127,"character")</f>
        <v>0</v>
      </c>
      <c r="K52" s="2" t="n">
        <f aca="false">COUNTIFS($B$67:$B$127,B52,$E$67:$E$127,"character")</f>
        <v>0</v>
      </c>
      <c r="L52" s="9"/>
    </row>
    <row r="53" customFormat="false" ht="15" hidden="false" customHeight="false" outlineLevel="0" collapsed="false">
      <c r="A53" s="2" t="s">
        <v>852</v>
      </c>
      <c r="B53" s="2" t="s">
        <v>853</v>
      </c>
      <c r="C53" s="2" t="s">
        <v>838</v>
      </c>
      <c r="D53" s="2"/>
      <c r="E53" s="9"/>
      <c r="F53" s="9"/>
      <c r="G53" s="9"/>
      <c r="H53" s="9"/>
      <c r="I53" s="9"/>
      <c r="J53" s="2" t="n">
        <f aca="false">COUNTIFS($A$67:$A$127,B53,$E$67:$E$127,"character")</f>
        <v>0</v>
      </c>
      <c r="K53" s="2" t="n">
        <f aca="false">COUNTIFS($B$67:$B$127,B53,$E$67:$E$127,"character")</f>
        <v>0</v>
      </c>
      <c r="L53" s="9"/>
    </row>
    <row r="54" customFormat="false" ht="15" hidden="false" customHeight="false" outlineLevel="0" collapsed="false">
      <c r="A54" s="2" t="s">
        <v>856</v>
      </c>
      <c r="B54" s="2" t="s">
        <v>857</v>
      </c>
      <c r="C54" s="2" t="s">
        <v>838</v>
      </c>
      <c r="D54" s="2"/>
      <c r="E54" s="9"/>
      <c r="F54" s="9"/>
      <c r="G54" s="9"/>
      <c r="H54" s="9"/>
      <c r="I54" s="9"/>
      <c r="J54" s="2" t="n">
        <f aca="false">COUNTIFS($A$67:$A$127,B54,$E$67:$E$127,"character")</f>
        <v>0</v>
      </c>
      <c r="K54" s="2" t="n">
        <f aca="false">COUNTIFS($B$67:$B$127,B54,$E$67:$E$127,"character")</f>
        <v>0</v>
      </c>
      <c r="L54" s="9"/>
    </row>
    <row r="55" customFormat="false" ht="15" hidden="false" customHeight="false" outlineLevel="0" collapsed="false">
      <c r="A55" s="2" t="s">
        <v>860</v>
      </c>
      <c r="B55" s="2" t="s">
        <v>861</v>
      </c>
      <c r="C55" s="2" t="s">
        <v>838</v>
      </c>
      <c r="D55" s="2"/>
      <c r="E55" s="9"/>
      <c r="F55" s="9"/>
      <c r="G55" s="9"/>
      <c r="H55" s="9"/>
      <c r="I55" s="9"/>
      <c r="J55" s="2" t="n">
        <f aca="false">COUNTIFS($A$67:$A$127,B55,$E$67:$E$127,"character")</f>
        <v>0</v>
      </c>
      <c r="K55" s="2" t="n">
        <f aca="false">COUNTIFS($B$67:$B$127,B55,$E$67:$E$127,"character")</f>
        <v>0</v>
      </c>
      <c r="L55" s="9"/>
    </row>
    <row r="56" customFormat="false" ht="15" hidden="false" customHeight="false" outlineLevel="0" collapsed="false">
      <c r="A56" s="2" t="s">
        <v>864</v>
      </c>
      <c r="B56" s="2" t="s">
        <v>865</v>
      </c>
      <c r="C56" s="2" t="s">
        <v>838</v>
      </c>
      <c r="D56" s="2"/>
      <c r="E56" s="9"/>
      <c r="F56" s="9"/>
      <c r="G56" s="9"/>
      <c r="H56" s="9"/>
      <c r="I56" s="9"/>
      <c r="J56" s="2" t="n">
        <f aca="false">COUNTIFS($A$67:$A$127,B56,$E$67:$E$127,"character")</f>
        <v>0</v>
      </c>
      <c r="K56" s="2" t="n">
        <f aca="false">COUNTIFS($B$67:$B$127,B56,$E$67:$E$127,"character")</f>
        <v>0</v>
      </c>
      <c r="L56" s="9"/>
    </row>
    <row r="57" customFormat="false" ht="15" hidden="false" customHeight="false" outlineLevel="0" collapsed="false">
      <c r="A57" s="2" t="s">
        <v>868</v>
      </c>
      <c r="B57" s="2" t="s">
        <v>869</v>
      </c>
      <c r="C57" s="2" t="s">
        <v>838</v>
      </c>
      <c r="D57" s="2"/>
      <c r="E57" s="9"/>
      <c r="F57" s="9"/>
      <c r="G57" s="9"/>
      <c r="H57" s="9"/>
      <c r="I57" s="9"/>
      <c r="J57" s="2" t="n">
        <f aca="false">COUNTIFS($A$67:$A$127,B57,$E$67:$E$127,"character")</f>
        <v>0</v>
      </c>
      <c r="K57" s="2" t="n">
        <f aca="false">COUNTIFS($B$67:$B$127,B57,$E$67:$E$127,"character")</f>
        <v>0</v>
      </c>
      <c r="L57" s="9"/>
    </row>
    <row r="58" customFormat="false" ht="15" hidden="false" customHeight="false" outlineLevel="0" collapsed="false">
      <c r="A58" s="2" t="s">
        <v>872</v>
      </c>
      <c r="B58" s="2" t="s">
        <v>873</v>
      </c>
      <c r="C58" s="2" t="s">
        <v>838</v>
      </c>
      <c r="D58" s="2"/>
      <c r="E58" s="9"/>
      <c r="F58" s="9"/>
      <c r="G58" s="9"/>
      <c r="H58" s="9"/>
      <c r="I58" s="9"/>
      <c r="J58" s="2" t="n">
        <f aca="false">COUNTIFS($A$67:$A$127,B58,$E$67:$E$127,"character")</f>
        <v>0</v>
      </c>
      <c r="K58" s="2" t="n">
        <f aca="false">COUNTIFS($B$67:$B$127,B58,$E$67:$E$127,"character")</f>
        <v>0</v>
      </c>
      <c r="L58" s="9"/>
    </row>
    <row r="59" customFormat="false" ht="15" hidden="false" customHeight="false" outlineLevel="0" collapsed="false">
      <c r="A59" s="2" t="s">
        <v>876</v>
      </c>
      <c r="B59" s="2" t="s">
        <v>877</v>
      </c>
      <c r="C59" s="2" t="s">
        <v>838</v>
      </c>
      <c r="D59" s="2"/>
      <c r="E59" s="9"/>
      <c r="F59" s="9"/>
      <c r="G59" s="9"/>
      <c r="H59" s="9"/>
      <c r="I59" s="9"/>
      <c r="J59" s="2" t="n">
        <f aca="false">COUNTIFS($A$67:$A$127,B59,$E$67:$E$127,"character")</f>
        <v>0</v>
      </c>
      <c r="K59" s="2" t="n">
        <f aca="false">COUNTIFS($B$67:$B$127,B59,$E$67:$E$127,"character")</f>
        <v>0</v>
      </c>
      <c r="L59" s="9"/>
    </row>
    <row r="60" customFormat="false" ht="15" hidden="false" customHeight="false" outlineLevel="0" collapsed="false">
      <c r="A60" s="2" t="s">
        <v>880</v>
      </c>
      <c r="B60" s="2" t="s">
        <v>881</v>
      </c>
      <c r="C60" s="2" t="s">
        <v>838</v>
      </c>
      <c r="D60" s="2"/>
      <c r="E60" s="9"/>
      <c r="F60" s="9"/>
      <c r="G60" s="9"/>
      <c r="H60" s="9"/>
      <c r="I60" s="9"/>
      <c r="J60" s="2" t="n">
        <f aca="false">COUNTIFS($A$67:$A$127,B60,$E$67:$E$127,"character")</f>
        <v>0</v>
      </c>
      <c r="K60" s="2" t="n">
        <f aca="false">COUNTIFS($B$67:$B$127,B60,$E$67:$E$127,"character")</f>
        <v>0</v>
      </c>
      <c r="L60" s="9"/>
    </row>
    <row r="61" customFormat="false" ht="15" hidden="false" customHeight="false" outlineLevel="0" collapsed="false">
      <c r="A61" s="2" t="s">
        <v>884</v>
      </c>
      <c r="B61" s="2" t="s">
        <v>885</v>
      </c>
      <c r="C61" s="2" t="s">
        <v>838</v>
      </c>
      <c r="D61" s="2"/>
      <c r="E61" s="9"/>
      <c r="F61" s="9"/>
      <c r="G61" s="9"/>
      <c r="H61" s="9"/>
      <c r="I61" s="9"/>
      <c r="J61" s="2" t="n">
        <f aca="false">COUNTIFS($A$67:$A$127,B61,$E$67:$E$127,"character")</f>
        <v>0</v>
      </c>
      <c r="K61" s="2" t="n">
        <f aca="false">COUNTIFS($B$67:$B$127,B61,$E$67:$E$127,"character")</f>
        <v>0</v>
      </c>
      <c r="L61" s="9"/>
    </row>
    <row r="62" customFormat="false" ht="15" hidden="false" customHeight="false" outlineLevel="0" collapsed="false">
      <c r="A62" s="2" t="s">
        <v>888</v>
      </c>
      <c r="B62" s="2" t="s">
        <v>889</v>
      </c>
      <c r="C62" s="2" t="s">
        <v>838</v>
      </c>
      <c r="D62" s="2"/>
      <c r="E62" s="9"/>
      <c r="F62" s="9"/>
      <c r="G62" s="9"/>
      <c r="H62" s="9"/>
      <c r="I62" s="9"/>
      <c r="J62" s="2" t="n">
        <f aca="false">COUNTIFS($A$67:$A$127,B62,$E$67:$E$127,"character")</f>
        <v>0</v>
      </c>
      <c r="K62" s="2" t="n">
        <f aca="false">COUNTIFS($B$67:$B$127,B62,$E$67:$E$127,"character")</f>
        <v>0</v>
      </c>
      <c r="L62" s="9"/>
    </row>
    <row r="63" customFormat="false" ht="15" hidden="false" customHeight="false" outlineLevel="0" collapsed="false">
      <c r="A63" s="2" t="s">
        <v>892</v>
      </c>
      <c r="B63" s="2" t="s">
        <v>893</v>
      </c>
      <c r="C63" s="2" t="s">
        <v>838</v>
      </c>
      <c r="D63" s="2"/>
      <c r="E63" s="9"/>
      <c r="F63" s="9"/>
      <c r="G63" s="9"/>
      <c r="H63" s="9"/>
      <c r="I63" s="9"/>
      <c r="J63" s="2" t="n">
        <f aca="false">COUNTIFS($A$67:$A$127,B63,$E$67:$E$127,"character")</f>
        <v>0</v>
      </c>
      <c r="K63" s="2" t="n">
        <f aca="false">COUNTIFS($B$67:$B$127,B63,$E$67:$E$127,"character")</f>
        <v>0</v>
      </c>
      <c r="L63" s="9"/>
    </row>
    <row r="65" customFormat="false" ht="15" hidden="false" customHeight="false" outlineLevel="0" collapsed="false">
      <c r="A65" s="23" t="s">
        <v>1004</v>
      </c>
    </row>
    <row r="66" customFormat="false" ht="15" hidden="false" customHeight="false" outlineLevel="0" collapsed="false">
      <c r="A66" s="24" t="s">
        <v>1005</v>
      </c>
      <c r="B66" s="24" t="s">
        <v>1006</v>
      </c>
      <c r="C66" s="24" t="s">
        <v>1007</v>
      </c>
      <c r="D66" s="24" t="s">
        <v>1008</v>
      </c>
      <c r="E66" s="24" t="s">
        <v>1009</v>
      </c>
      <c r="F66" s="24" t="s">
        <v>1010</v>
      </c>
      <c r="G66" s="24" t="s">
        <v>1011</v>
      </c>
    </row>
    <row r="67" customFormat="false" ht="15" hidden="false" customHeight="false" outlineLevel="0" collapsed="false">
      <c r="A67" s="2" t="s">
        <v>108</v>
      </c>
      <c r="B67" s="2" t="s">
        <v>37</v>
      </c>
      <c r="C67" s="2" t="s">
        <v>1012</v>
      </c>
      <c r="D67" s="2" t="n">
        <v>9</v>
      </c>
      <c r="E67" s="2" t="s">
        <v>1013</v>
      </c>
      <c r="F67" s="25" t="s">
        <v>1014</v>
      </c>
      <c r="G67" s="2" t="s">
        <v>1015</v>
      </c>
    </row>
    <row r="68" customFormat="false" ht="15" hidden="false" customHeight="false" outlineLevel="0" collapsed="false">
      <c r="A68" s="2" t="s">
        <v>108</v>
      </c>
      <c r="B68" s="2" t="s">
        <v>368</v>
      </c>
      <c r="C68" s="2" t="s">
        <v>1016</v>
      </c>
      <c r="D68" s="2" t="n">
        <v>3</v>
      </c>
      <c r="E68" s="2" t="s">
        <v>1013</v>
      </c>
      <c r="F68" s="25" t="s">
        <v>1017</v>
      </c>
      <c r="G68" s="2" t="s">
        <v>1018</v>
      </c>
    </row>
    <row r="69" customFormat="false" ht="15" hidden="false" customHeight="false" outlineLevel="0" collapsed="false">
      <c r="A69" s="2" t="s">
        <v>108</v>
      </c>
      <c r="B69" s="2" t="s">
        <v>1019</v>
      </c>
      <c r="C69" s="2" t="s">
        <v>1020</v>
      </c>
      <c r="D69" s="2" t="n">
        <v>3</v>
      </c>
      <c r="E69" s="2" t="s">
        <v>1021</v>
      </c>
      <c r="F69" s="25" t="s">
        <v>1022</v>
      </c>
      <c r="G69" s="2" t="s">
        <v>1023</v>
      </c>
    </row>
    <row r="70" customFormat="false" ht="15" hidden="false" customHeight="false" outlineLevel="0" collapsed="false">
      <c r="A70" s="2" t="s">
        <v>108</v>
      </c>
      <c r="B70" s="2" t="s">
        <v>1024</v>
      </c>
      <c r="C70" s="2" t="s">
        <v>1025</v>
      </c>
      <c r="D70" s="2" t="n">
        <v>12</v>
      </c>
      <c r="E70" s="2" t="s">
        <v>1021</v>
      </c>
      <c r="F70" s="9"/>
      <c r="G70" s="2"/>
    </row>
    <row r="71" customFormat="false" ht="15" hidden="false" customHeight="false" outlineLevel="0" collapsed="false">
      <c r="A71" s="2" t="s">
        <v>108</v>
      </c>
      <c r="B71" s="2" t="s">
        <v>948</v>
      </c>
      <c r="C71" s="2" t="s">
        <v>1025</v>
      </c>
      <c r="D71" s="2" t="n">
        <v>7</v>
      </c>
      <c r="E71" s="2" t="s">
        <v>1021</v>
      </c>
      <c r="F71" s="9"/>
      <c r="G71" s="2"/>
    </row>
    <row r="72" customFormat="false" ht="15" hidden="false" customHeight="false" outlineLevel="0" collapsed="false">
      <c r="A72" s="2" t="s">
        <v>108</v>
      </c>
      <c r="B72" s="2" t="s">
        <v>1026</v>
      </c>
      <c r="C72" s="2" t="s">
        <v>1027</v>
      </c>
      <c r="D72" s="2" t="n">
        <v>1</v>
      </c>
      <c r="E72" s="2" t="s">
        <v>1021</v>
      </c>
      <c r="F72" s="25" t="s">
        <v>1028</v>
      </c>
      <c r="G72" s="2" t="s">
        <v>1029</v>
      </c>
    </row>
    <row r="73" customFormat="false" ht="15" hidden="false" customHeight="false" outlineLevel="0" collapsed="false">
      <c r="A73" s="2" t="s">
        <v>518</v>
      </c>
      <c r="B73" s="2" t="s">
        <v>108</v>
      </c>
      <c r="C73" s="2" t="s">
        <v>1030</v>
      </c>
      <c r="D73" s="2" t="n">
        <v>3</v>
      </c>
      <c r="E73" s="2" t="s">
        <v>1013</v>
      </c>
      <c r="F73" s="9"/>
      <c r="G73" s="2"/>
    </row>
    <row r="74" customFormat="false" ht="15" hidden="false" customHeight="false" outlineLevel="0" collapsed="false">
      <c r="A74" s="2" t="s">
        <v>153</v>
      </c>
      <c r="B74" s="2" t="s">
        <v>37</v>
      </c>
      <c r="C74" s="2" t="s">
        <v>1031</v>
      </c>
      <c r="D74" s="2" t="n">
        <v>4</v>
      </c>
      <c r="E74" s="2" t="s">
        <v>1013</v>
      </c>
      <c r="F74" s="25" t="s">
        <v>930</v>
      </c>
      <c r="G74" s="2" t="s">
        <v>1032</v>
      </c>
    </row>
    <row r="75" customFormat="false" ht="15" hidden="false" customHeight="false" outlineLevel="0" collapsed="false">
      <c r="A75" s="2" t="s">
        <v>153</v>
      </c>
      <c r="B75" s="2" t="s">
        <v>1033</v>
      </c>
      <c r="C75" s="2" t="s">
        <v>1034</v>
      </c>
      <c r="D75" s="2" t="n">
        <v>3</v>
      </c>
      <c r="E75" s="2" t="s">
        <v>1021</v>
      </c>
      <c r="F75" s="25" t="s">
        <v>1035</v>
      </c>
      <c r="G75" s="2" t="s">
        <v>1036</v>
      </c>
    </row>
    <row r="76" customFormat="false" ht="15" hidden="false" customHeight="false" outlineLevel="0" collapsed="false">
      <c r="A76" s="2" t="s">
        <v>841</v>
      </c>
      <c r="B76" s="2" t="s">
        <v>37</v>
      </c>
      <c r="C76" s="2" t="s">
        <v>1037</v>
      </c>
      <c r="D76" s="2" t="n">
        <v>2</v>
      </c>
      <c r="E76" s="2" t="s">
        <v>1013</v>
      </c>
      <c r="F76" s="9"/>
      <c r="G76" s="2" t="s">
        <v>1038</v>
      </c>
    </row>
    <row r="77" customFormat="false" ht="15" hidden="false" customHeight="false" outlineLevel="0" collapsed="false">
      <c r="A77" s="2" t="s">
        <v>37</v>
      </c>
      <c r="B77" s="2" t="s">
        <v>1039</v>
      </c>
      <c r="C77" s="2" t="s">
        <v>1040</v>
      </c>
      <c r="D77" s="2" t="n">
        <v>2</v>
      </c>
      <c r="E77" s="2" t="s">
        <v>1041</v>
      </c>
      <c r="F77" s="25" t="s">
        <v>1042</v>
      </c>
      <c r="G77" s="2" t="s">
        <v>1043</v>
      </c>
    </row>
    <row r="78" customFormat="false" ht="15" hidden="false" customHeight="false" outlineLevel="0" collapsed="false">
      <c r="A78" s="2" t="s">
        <v>37</v>
      </c>
      <c r="B78" s="2" t="s">
        <v>865</v>
      </c>
      <c r="C78" s="2" t="s">
        <v>1044</v>
      </c>
      <c r="D78" s="2" t="n">
        <v>2</v>
      </c>
      <c r="E78" s="2" t="s">
        <v>1021</v>
      </c>
      <c r="F78" s="25" t="s">
        <v>1045</v>
      </c>
      <c r="G78" s="2" t="s">
        <v>1046</v>
      </c>
    </row>
    <row r="79" customFormat="false" ht="15" hidden="false" customHeight="false" outlineLevel="0" collapsed="false">
      <c r="A79" s="2" t="s">
        <v>348</v>
      </c>
      <c r="B79" s="2" t="s">
        <v>37</v>
      </c>
      <c r="C79" s="2" t="s">
        <v>1030</v>
      </c>
      <c r="D79" s="2" t="n">
        <v>2</v>
      </c>
      <c r="E79" s="2" t="s">
        <v>1013</v>
      </c>
      <c r="F79" s="9"/>
      <c r="G79" s="2"/>
    </row>
    <row r="80" customFormat="false" ht="15" hidden="false" customHeight="false" outlineLevel="0" collapsed="false">
      <c r="A80" s="2" t="s">
        <v>348</v>
      </c>
      <c r="B80" s="2" t="s">
        <v>444</v>
      </c>
      <c r="C80" s="2" t="s">
        <v>1030</v>
      </c>
      <c r="D80" s="2" t="n">
        <v>2</v>
      </c>
      <c r="E80" s="2" t="s">
        <v>1013</v>
      </c>
      <c r="F80" s="9"/>
      <c r="G80" s="2"/>
    </row>
    <row r="81" customFormat="false" ht="15" hidden="false" customHeight="false" outlineLevel="0" collapsed="false">
      <c r="A81" s="2" t="s">
        <v>348</v>
      </c>
      <c r="B81" s="2" t="s">
        <v>1047</v>
      </c>
      <c r="C81" s="2" t="s">
        <v>1037</v>
      </c>
      <c r="D81" s="2" t="n">
        <v>4</v>
      </c>
      <c r="E81" s="2" t="s">
        <v>1041</v>
      </c>
      <c r="F81" s="9"/>
      <c r="G81" s="2"/>
    </row>
    <row r="82" customFormat="false" ht="15" hidden="false" customHeight="false" outlineLevel="0" collapsed="false">
      <c r="A82" s="2" t="s">
        <v>348</v>
      </c>
      <c r="B82" s="2" t="s">
        <v>965</v>
      </c>
      <c r="C82" s="2" t="s">
        <v>1037</v>
      </c>
      <c r="D82" s="2" t="n">
        <v>3</v>
      </c>
      <c r="E82" s="2" t="s">
        <v>1048</v>
      </c>
      <c r="F82" s="9"/>
      <c r="G82" s="2"/>
    </row>
    <row r="83" customFormat="false" ht="15" hidden="false" customHeight="false" outlineLevel="0" collapsed="false">
      <c r="A83" s="2" t="s">
        <v>556</v>
      </c>
      <c r="B83" s="2" t="s">
        <v>37</v>
      </c>
      <c r="C83" s="2" t="s">
        <v>1030</v>
      </c>
      <c r="D83" s="2" t="n">
        <v>4</v>
      </c>
      <c r="E83" s="2" t="s">
        <v>1013</v>
      </c>
      <c r="F83" s="9"/>
      <c r="G83" s="2"/>
    </row>
    <row r="84" customFormat="false" ht="15" hidden="false" customHeight="false" outlineLevel="0" collapsed="false">
      <c r="A84" s="2" t="s">
        <v>556</v>
      </c>
      <c r="B84" s="2" t="s">
        <v>131</v>
      </c>
      <c r="C84" s="2" t="s">
        <v>1030</v>
      </c>
      <c r="D84" s="2" t="n">
        <v>2</v>
      </c>
      <c r="E84" s="2" t="s">
        <v>1013</v>
      </c>
      <c r="F84" s="9"/>
      <c r="G84" s="2"/>
    </row>
    <row r="85" customFormat="false" ht="15" hidden="false" customHeight="false" outlineLevel="0" collapsed="false">
      <c r="A85" s="2" t="s">
        <v>556</v>
      </c>
      <c r="B85" s="2" t="s">
        <v>428</v>
      </c>
      <c r="C85" s="2" t="s">
        <v>1030</v>
      </c>
      <c r="D85" s="2" t="n">
        <v>2</v>
      </c>
      <c r="E85" s="2" t="s">
        <v>1013</v>
      </c>
      <c r="F85" s="9"/>
      <c r="G85" s="2"/>
    </row>
    <row r="86" customFormat="false" ht="15" hidden="false" customHeight="false" outlineLevel="0" collapsed="false">
      <c r="A86" s="2" t="s">
        <v>556</v>
      </c>
      <c r="B86" s="2" t="s">
        <v>348</v>
      </c>
      <c r="C86" s="2" t="s">
        <v>1030</v>
      </c>
      <c r="D86" s="2" t="n">
        <v>1</v>
      </c>
      <c r="E86" s="2" t="s">
        <v>1013</v>
      </c>
      <c r="F86" s="9"/>
      <c r="G86" s="2"/>
    </row>
    <row r="87" customFormat="false" ht="15" hidden="false" customHeight="false" outlineLevel="0" collapsed="false">
      <c r="A87" s="2" t="s">
        <v>790</v>
      </c>
      <c r="B87" s="2" t="s">
        <v>37</v>
      </c>
      <c r="C87" s="2" t="s">
        <v>1030</v>
      </c>
      <c r="D87" s="2" t="n">
        <v>2</v>
      </c>
      <c r="E87" s="2" t="s">
        <v>1013</v>
      </c>
      <c r="F87" s="9"/>
      <c r="G87" s="2"/>
    </row>
    <row r="88" customFormat="false" ht="15" hidden="false" customHeight="false" outlineLevel="0" collapsed="false">
      <c r="A88" s="2" t="s">
        <v>798</v>
      </c>
      <c r="B88" s="2" t="s">
        <v>37</v>
      </c>
      <c r="C88" s="2" t="s">
        <v>1049</v>
      </c>
      <c r="D88" s="2" t="n">
        <v>2</v>
      </c>
      <c r="E88" s="2" t="s">
        <v>1013</v>
      </c>
      <c r="F88" s="25" t="s">
        <v>799</v>
      </c>
      <c r="G88" s="2"/>
    </row>
    <row r="89" customFormat="false" ht="15" hidden="false" customHeight="false" outlineLevel="0" collapsed="false">
      <c r="A89" s="2" t="s">
        <v>176</v>
      </c>
      <c r="B89" s="2" t="s">
        <v>1050</v>
      </c>
      <c r="C89" s="2" t="s">
        <v>1051</v>
      </c>
      <c r="D89" s="2" t="n">
        <v>5</v>
      </c>
      <c r="E89" s="2" t="s">
        <v>1041</v>
      </c>
      <c r="F89" s="25" t="s">
        <v>339</v>
      </c>
      <c r="G89" s="2" t="s">
        <v>1052</v>
      </c>
    </row>
    <row r="90" customFormat="false" ht="15" hidden="false" customHeight="false" outlineLevel="0" collapsed="false">
      <c r="A90" s="2" t="s">
        <v>85</v>
      </c>
      <c r="B90" s="2" t="s">
        <v>965</v>
      </c>
      <c r="C90" s="2" t="s">
        <v>1053</v>
      </c>
      <c r="D90" s="2" t="n">
        <v>7</v>
      </c>
      <c r="E90" s="2" t="s">
        <v>1048</v>
      </c>
      <c r="F90" s="25" t="s">
        <v>1054</v>
      </c>
      <c r="G90" s="2" t="s">
        <v>1055</v>
      </c>
    </row>
    <row r="91" customFormat="false" ht="15" hidden="false" customHeight="false" outlineLevel="0" collapsed="false">
      <c r="A91" s="2" t="s">
        <v>368</v>
      </c>
      <c r="B91" s="2" t="s">
        <v>385</v>
      </c>
      <c r="C91" s="2" t="s">
        <v>1030</v>
      </c>
      <c r="D91" s="2" t="n">
        <v>5</v>
      </c>
      <c r="E91" s="2" t="s">
        <v>1013</v>
      </c>
      <c r="F91" s="9"/>
      <c r="G91" s="2"/>
    </row>
    <row r="92" customFormat="false" ht="15" hidden="false" customHeight="false" outlineLevel="0" collapsed="false">
      <c r="A92" s="2" t="s">
        <v>368</v>
      </c>
      <c r="B92" s="2" t="s">
        <v>400</v>
      </c>
      <c r="C92" s="2" t="s">
        <v>1030</v>
      </c>
      <c r="D92" s="2" t="n">
        <v>4</v>
      </c>
      <c r="E92" s="2" t="s">
        <v>1013</v>
      </c>
      <c r="F92" s="9"/>
      <c r="G92" s="2"/>
    </row>
    <row r="93" customFormat="false" ht="15" hidden="false" customHeight="false" outlineLevel="0" collapsed="false">
      <c r="A93" s="2" t="s">
        <v>368</v>
      </c>
      <c r="B93" s="2" t="s">
        <v>415</v>
      </c>
      <c r="C93" s="2" t="s">
        <v>1030</v>
      </c>
      <c r="D93" s="2" t="n">
        <v>2</v>
      </c>
      <c r="E93" s="2" t="s">
        <v>1013</v>
      </c>
      <c r="F93" s="9"/>
      <c r="G93" s="2"/>
    </row>
    <row r="94" customFormat="false" ht="15" hidden="false" customHeight="false" outlineLevel="0" collapsed="false">
      <c r="A94" s="2" t="s">
        <v>368</v>
      </c>
      <c r="B94" s="2" t="s">
        <v>625</v>
      </c>
      <c r="C94" s="2" t="s">
        <v>1030</v>
      </c>
      <c r="D94" s="2" t="n">
        <v>2</v>
      </c>
      <c r="E94" s="2" t="s">
        <v>1013</v>
      </c>
      <c r="F94" s="9"/>
      <c r="G94" s="2"/>
    </row>
    <row r="95" customFormat="false" ht="15" hidden="false" customHeight="false" outlineLevel="0" collapsed="false">
      <c r="A95" s="2" t="s">
        <v>368</v>
      </c>
      <c r="B95" s="2" t="s">
        <v>462</v>
      </c>
      <c r="C95" s="2" t="s">
        <v>1030</v>
      </c>
      <c r="D95" s="2" t="n">
        <v>2</v>
      </c>
      <c r="E95" s="2" t="s">
        <v>1013</v>
      </c>
      <c r="F95" s="9"/>
      <c r="G95" s="2"/>
    </row>
    <row r="96" customFormat="false" ht="15" hidden="false" customHeight="false" outlineLevel="0" collapsed="false">
      <c r="A96" s="2" t="s">
        <v>385</v>
      </c>
      <c r="B96" s="2" t="s">
        <v>368</v>
      </c>
      <c r="C96" s="2" t="s">
        <v>1030</v>
      </c>
      <c r="D96" s="2" t="n">
        <v>4</v>
      </c>
      <c r="E96" s="2" t="s">
        <v>1013</v>
      </c>
      <c r="F96" s="9"/>
      <c r="G96" s="2"/>
    </row>
    <row r="97" customFormat="false" ht="15" hidden="false" customHeight="false" outlineLevel="0" collapsed="false">
      <c r="A97" s="2" t="s">
        <v>415</v>
      </c>
      <c r="B97" s="2" t="s">
        <v>368</v>
      </c>
      <c r="C97" s="2" t="s">
        <v>1030</v>
      </c>
      <c r="D97" s="2" t="n">
        <v>2</v>
      </c>
      <c r="E97" s="2" t="s">
        <v>1013</v>
      </c>
      <c r="F97" s="9"/>
      <c r="G97" s="2"/>
    </row>
    <row r="98" customFormat="false" ht="15" hidden="false" customHeight="false" outlineLevel="0" collapsed="false">
      <c r="A98" s="2" t="s">
        <v>415</v>
      </c>
      <c r="B98" s="2" t="s">
        <v>385</v>
      </c>
      <c r="C98" s="2" t="s">
        <v>1030</v>
      </c>
      <c r="D98" s="2" t="n">
        <v>2</v>
      </c>
      <c r="E98" s="2" t="s">
        <v>1013</v>
      </c>
      <c r="F98" s="9"/>
      <c r="G98" s="2"/>
    </row>
    <row r="99" customFormat="false" ht="15" hidden="false" customHeight="false" outlineLevel="0" collapsed="false">
      <c r="A99" s="2" t="s">
        <v>400</v>
      </c>
      <c r="B99" s="2" t="s">
        <v>1056</v>
      </c>
      <c r="C99" s="2" t="s">
        <v>1030</v>
      </c>
      <c r="D99" s="2" t="n">
        <v>6</v>
      </c>
      <c r="E99" s="2" t="s">
        <v>1057</v>
      </c>
      <c r="F99" s="9"/>
      <c r="G99" s="2"/>
    </row>
    <row r="100" customFormat="false" ht="15" hidden="false" customHeight="false" outlineLevel="0" collapsed="false">
      <c r="A100" s="2" t="s">
        <v>400</v>
      </c>
      <c r="B100" s="2" t="s">
        <v>1019</v>
      </c>
      <c r="C100" s="2" t="s">
        <v>1058</v>
      </c>
      <c r="D100" s="2" t="n">
        <v>1</v>
      </c>
      <c r="E100" s="2" t="s">
        <v>1021</v>
      </c>
      <c r="F100" s="9"/>
      <c r="G100" s="2"/>
    </row>
    <row r="101" customFormat="false" ht="15" hidden="false" customHeight="false" outlineLevel="0" collapsed="false">
      <c r="A101" s="2" t="s">
        <v>444</v>
      </c>
      <c r="B101" s="2" t="s">
        <v>804</v>
      </c>
      <c r="C101" s="2" t="s">
        <v>1030</v>
      </c>
      <c r="D101" s="2" t="n">
        <v>8</v>
      </c>
      <c r="E101" s="2" t="s">
        <v>1013</v>
      </c>
      <c r="F101" s="9"/>
      <c r="G101" s="2"/>
    </row>
    <row r="102" customFormat="false" ht="15" hidden="false" customHeight="false" outlineLevel="0" collapsed="false">
      <c r="A102" s="2" t="s">
        <v>444</v>
      </c>
      <c r="B102" s="2" t="s">
        <v>400</v>
      </c>
      <c r="C102" s="2" t="s">
        <v>1030</v>
      </c>
      <c r="D102" s="2" t="n">
        <v>4</v>
      </c>
      <c r="E102" s="2" t="s">
        <v>1013</v>
      </c>
      <c r="F102" s="9"/>
      <c r="G102" s="2"/>
    </row>
    <row r="103" customFormat="false" ht="15" hidden="false" customHeight="false" outlineLevel="0" collapsed="false">
      <c r="A103" s="2" t="s">
        <v>444</v>
      </c>
      <c r="B103" s="2" t="s">
        <v>1059</v>
      </c>
      <c r="C103" s="2" t="s">
        <v>1030</v>
      </c>
      <c r="D103" s="2" t="n">
        <v>5</v>
      </c>
      <c r="E103" s="2" t="s">
        <v>1057</v>
      </c>
      <c r="F103" s="9"/>
      <c r="G103" s="2"/>
    </row>
    <row r="104" customFormat="false" ht="15" hidden="false" customHeight="false" outlineLevel="0" collapsed="false">
      <c r="A104" s="2" t="s">
        <v>804</v>
      </c>
      <c r="B104" s="2" t="s">
        <v>400</v>
      </c>
      <c r="C104" s="2" t="s">
        <v>1030</v>
      </c>
      <c r="D104" s="2" t="n">
        <v>2</v>
      </c>
      <c r="E104" s="2" t="s">
        <v>1013</v>
      </c>
      <c r="F104" s="9"/>
      <c r="G104" s="2"/>
    </row>
    <row r="105" customFormat="false" ht="15" hidden="false" customHeight="false" outlineLevel="0" collapsed="false">
      <c r="A105" s="2" t="s">
        <v>804</v>
      </c>
      <c r="B105" s="2" t="s">
        <v>444</v>
      </c>
      <c r="C105" s="2" t="s">
        <v>1030</v>
      </c>
      <c r="D105" s="2" t="n">
        <v>2</v>
      </c>
      <c r="E105" s="2" t="s">
        <v>1013</v>
      </c>
      <c r="F105" s="9"/>
      <c r="G105" s="2"/>
    </row>
    <row r="106" customFormat="false" ht="15" hidden="false" customHeight="false" outlineLevel="0" collapsed="false">
      <c r="A106" s="2" t="s">
        <v>462</v>
      </c>
      <c r="B106" s="2" t="s">
        <v>477</v>
      </c>
      <c r="C106" s="2" t="s">
        <v>1030</v>
      </c>
      <c r="D106" s="2" t="n">
        <v>8</v>
      </c>
      <c r="E106" s="2" t="s">
        <v>1013</v>
      </c>
      <c r="F106" s="9"/>
      <c r="G106" s="2"/>
    </row>
    <row r="107" customFormat="false" ht="15" hidden="false" customHeight="false" outlineLevel="0" collapsed="false">
      <c r="A107" s="2" t="s">
        <v>462</v>
      </c>
      <c r="B107" s="2" t="s">
        <v>400</v>
      </c>
      <c r="C107" s="2" t="s">
        <v>1030</v>
      </c>
      <c r="D107" s="2" t="n">
        <v>6</v>
      </c>
      <c r="E107" s="2" t="s">
        <v>1013</v>
      </c>
      <c r="F107" s="9"/>
      <c r="G107" s="2"/>
    </row>
    <row r="108" customFormat="false" ht="15" hidden="false" customHeight="false" outlineLevel="0" collapsed="false">
      <c r="A108" s="2" t="s">
        <v>477</v>
      </c>
      <c r="B108" s="2" t="s">
        <v>462</v>
      </c>
      <c r="C108" s="2" t="s">
        <v>1030</v>
      </c>
      <c r="D108" s="2" t="n">
        <v>14</v>
      </c>
      <c r="E108" s="2" t="s">
        <v>1013</v>
      </c>
      <c r="F108" s="9"/>
      <c r="G108" s="2"/>
    </row>
    <row r="109" customFormat="false" ht="15" hidden="false" customHeight="false" outlineLevel="0" collapsed="false">
      <c r="A109" s="2" t="s">
        <v>477</v>
      </c>
      <c r="B109" s="2" t="s">
        <v>400</v>
      </c>
      <c r="C109" s="2" t="s">
        <v>1030</v>
      </c>
      <c r="D109" s="2" t="n">
        <v>8</v>
      </c>
      <c r="E109" s="2" t="s">
        <v>1013</v>
      </c>
      <c r="F109" s="9"/>
      <c r="G109" s="2"/>
    </row>
    <row r="110" customFormat="false" ht="15" hidden="false" customHeight="false" outlineLevel="0" collapsed="false">
      <c r="A110" s="2" t="s">
        <v>625</v>
      </c>
      <c r="B110" s="2" t="s">
        <v>400</v>
      </c>
      <c r="C110" s="2" t="s">
        <v>1030</v>
      </c>
      <c r="D110" s="2" t="n">
        <v>2</v>
      </c>
      <c r="E110" s="2" t="s">
        <v>1013</v>
      </c>
      <c r="F110" s="9"/>
      <c r="G110" s="2"/>
    </row>
    <row r="111" customFormat="false" ht="15" hidden="false" customHeight="false" outlineLevel="0" collapsed="false">
      <c r="A111" s="2" t="s">
        <v>594</v>
      </c>
      <c r="B111" s="2" t="s">
        <v>611</v>
      </c>
      <c r="C111" s="2" t="s">
        <v>1030</v>
      </c>
      <c r="D111" s="2" t="n">
        <v>4</v>
      </c>
      <c r="E111" s="2" t="s">
        <v>1013</v>
      </c>
      <c r="F111" s="9"/>
      <c r="G111" s="2"/>
    </row>
    <row r="112" customFormat="false" ht="15" hidden="false" customHeight="false" outlineLevel="0" collapsed="false">
      <c r="A112" s="2" t="s">
        <v>594</v>
      </c>
      <c r="B112" s="2" t="s">
        <v>1060</v>
      </c>
      <c r="C112" s="2" t="s">
        <v>1061</v>
      </c>
      <c r="D112" s="2" t="n">
        <v>3</v>
      </c>
      <c r="E112" s="2" t="s">
        <v>1041</v>
      </c>
      <c r="F112" s="9"/>
      <c r="G112" s="2"/>
    </row>
    <row r="113" customFormat="false" ht="15" hidden="false" customHeight="false" outlineLevel="0" collapsed="false">
      <c r="A113" s="2" t="s">
        <v>655</v>
      </c>
      <c r="B113" s="2" t="s">
        <v>669</v>
      </c>
      <c r="C113" s="2" t="s">
        <v>1030</v>
      </c>
      <c r="D113" s="2" t="n">
        <v>3</v>
      </c>
      <c r="E113" s="2" t="s">
        <v>1013</v>
      </c>
      <c r="F113" s="9"/>
      <c r="G113" s="2"/>
    </row>
    <row r="114" customFormat="false" ht="15" hidden="false" customHeight="false" outlineLevel="0" collapsed="false">
      <c r="A114" s="2" t="s">
        <v>655</v>
      </c>
      <c r="B114" s="2" t="s">
        <v>1062</v>
      </c>
      <c r="C114" s="2" t="s">
        <v>1030</v>
      </c>
      <c r="D114" s="2" t="n">
        <v>2</v>
      </c>
      <c r="E114" s="2" t="s">
        <v>1013</v>
      </c>
      <c r="F114" s="9"/>
      <c r="G114" s="2"/>
    </row>
    <row r="115" customFormat="false" ht="15" hidden="false" customHeight="false" outlineLevel="0" collapsed="false">
      <c r="A115" s="2" t="s">
        <v>655</v>
      </c>
      <c r="B115" s="2" t="s">
        <v>1063</v>
      </c>
      <c r="C115" s="2" t="s">
        <v>1064</v>
      </c>
      <c r="D115" s="2" t="n">
        <v>4</v>
      </c>
      <c r="E115" s="2" t="s">
        <v>1065</v>
      </c>
      <c r="F115" s="9"/>
      <c r="G115" s="2"/>
    </row>
    <row r="116" customFormat="false" ht="15" hidden="false" customHeight="false" outlineLevel="0" collapsed="false">
      <c r="A116" s="2" t="s">
        <v>669</v>
      </c>
      <c r="B116" s="2" t="s">
        <v>1062</v>
      </c>
      <c r="C116" s="2" t="s">
        <v>1030</v>
      </c>
      <c r="D116" s="2" t="n">
        <v>4</v>
      </c>
      <c r="E116" s="2" t="s">
        <v>1013</v>
      </c>
      <c r="F116" s="9"/>
      <c r="G116" s="2"/>
    </row>
    <row r="117" customFormat="false" ht="15" hidden="false" customHeight="false" outlineLevel="0" collapsed="false">
      <c r="A117" s="2" t="s">
        <v>669</v>
      </c>
      <c r="B117" s="2" t="s">
        <v>655</v>
      </c>
      <c r="C117" s="2" t="s">
        <v>1030</v>
      </c>
      <c r="D117" s="2" t="n">
        <v>1</v>
      </c>
      <c r="E117" s="2" t="s">
        <v>1013</v>
      </c>
      <c r="F117" s="9"/>
      <c r="G117" s="2"/>
    </row>
    <row r="118" customFormat="false" ht="15" hidden="false" customHeight="false" outlineLevel="0" collapsed="false">
      <c r="A118" s="2" t="s">
        <v>748</v>
      </c>
      <c r="B118" s="2" t="s">
        <v>1066</v>
      </c>
      <c r="C118" s="2" t="s">
        <v>1030</v>
      </c>
      <c r="D118" s="2" t="n">
        <v>30</v>
      </c>
      <c r="E118" s="2" t="s">
        <v>1013</v>
      </c>
      <c r="F118" s="9"/>
      <c r="G118" s="2"/>
    </row>
    <row r="119" customFormat="false" ht="15" hidden="false" customHeight="false" outlineLevel="0" collapsed="false">
      <c r="A119" s="2" t="s">
        <v>748</v>
      </c>
      <c r="B119" s="2" t="s">
        <v>1067</v>
      </c>
      <c r="C119" s="2" t="s">
        <v>1064</v>
      </c>
      <c r="D119" s="2" t="n">
        <v>40</v>
      </c>
      <c r="E119" s="2" t="s">
        <v>1065</v>
      </c>
      <c r="F119" s="9"/>
      <c r="G119" s="2"/>
    </row>
    <row r="120" customFormat="false" ht="15" hidden="false" customHeight="false" outlineLevel="0" collapsed="false">
      <c r="A120" s="2" t="s">
        <v>696</v>
      </c>
      <c r="B120" s="2" t="s">
        <v>1068</v>
      </c>
      <c r="C120" s="2" t="s">
        <v>1069</v>
      </c>
      <c r="D120" s="2" t="n">
        <v>5</v>
      </c>
      <c r="E120" s="2" t="s">
        <v>1065</v>
      </c>
      <c r="F120" s="9"/>
      <c r="G120" s="2"/>
    </row>
    <row r="121" customFormat="false" ht="15" hidden="false" customHeight="false" outlineLevel="0" collapsed="false">
      <c r="A121" s="2" t="s">
        <v>774</v>
      </c>
      <c r="B121" s="2" t="s">
        <v>1070</v>
      </c>
      <c r="C121" s="2" t="s">
        <v>1064</v>
      </c>
      <c r="D121" s="2" t="n">
        <v>8</v>
      </c>
      <c r="E121" s="2" t="s">
        <v>1065</v>
      </c>
      <c r="F121" s="9"/>
      <c r="G121" s="2"/>
    </row>
    <row r="122" customFormat="false" ht="15" hidden="false" customHeight="false" outlineLevel="0" collapsed="false">
      <c r="A122" s="2" t="s">
        <v>722</v>
      </c>
      <c r="B122" s="2" t="s">
        <v>1071</v>
      </c>
      <c r="C122" s="2" t="s">
        <v>1030</v>
      </c>
      <c r="D122" s="2" t="n">
        <v>2</v>
      </c>
      <c r="E122" s="2" t="s">
        <v>1013</v>
      </c>
      <c r="F122" s="9"/>
      <c r="G122" s="2"/>
    </row>
    <row r="123" customFormat="false" ht="15" hidden="false" customHeight="false" outlineLevel="0" collapsed="false">
      <c r="A123" s="2" t="s">
        <v>108</v>
      </c>
      <c r="B123" s="2" t="s">
        <v>820</v>
      </c>
      <c r="C123" s="2" t="s">
        <v>1072</v>
      </c>
      <c r="D123" s="2" t="n">
        <v>1</v>
      </c>
      <c r="E123" s="2" t="s">
        <v>1073</v>
      </c>
      <c r="F123" s="9"/>
      <c r="G123" s="2"/>
    </row>
    <row r="124" customFormat="false" ht="15" hidden="false" customHeight="false" outlineLevel="0" collapsed="false">
      <c r="A124" s="2" t="s">
        <v>108</v>
      </c>
      <c r="B124" s="2" t="s">
        <v>518</v>
      </c>
      <c r="C124" s="2" t="s">
        <v>1072</v>
      </c>
      <c r="D124" s="2" t="n">
        <v>1</v>
      </c>
      <c r="E124" s="2" t="s">
        <v>1073</v>
      </c>
      <c r="F124" s="9"/>
      <c r="G124" s="2"/>
    </row>
    <row r="125" customFormat="false" ht="15" hidden="false" customHeight="false" outlineLevel="0" collapsed="false">
      <c r="A125" s="2" t="s">
        <v>131</v>
      </c>
      <c r="B125" s="2" t="s">
        <v>556</v>
      </c>
      <c r="C125" s="2" t="s">
        <v>1074</v>
      </c>
      <c r="D125" s="2" t="n">
        <v>1</v>
      </c>
      <c r="E125" s="2" t="s">
        <v>1073</v>
      </c>
      <c r="F125" s="9"/>
      <c r="G125" s="2"/>
    </row>
    <row r="126" customFormat="false" ht="15" hidden="false" customHeight="false" outlineLevel="0" collapsed="false">
      <c r="A126" s="2" t="s">
        <v>131</v>
      </c>
      <c r="B126" s="2" t="s">
        <v>594</v>
      </c>
      <c r="C126" s="2" t="s">
        <v>1074</v>
      </c>
      <c r="D126" s="2" t="n">
        <v>1</v>
      </c>
      <c r="E126" s="2" t="s">
        <v>1073</v>
      </c>
      <c r="F126" s="9"/>
      <c r="G126" s="2"/>
    </row>
    <row r="127" customFormat="false" ht="15" hidden="false" customHeight="false" outlineLevel="0" collapsed="false">
      <c r="A127" s="2" t="s">
        <v>176</v>
      </c>
      <c r="B127" s="2" t="s">
        <v>428</v>
      </c>
      <c r="C127" s="2" t="s">
        <v>1074</v>
      </c>
      <c r="D127" s="2" t="n">
        <v>1</v>
      </c>
      <c r="E127" s="2" t="s">
        <v>1073</v>
      </c>
      <c r="F127" s="9"/>
      <c r="G127" s="2"/>
    </row>
  </sheetData>
  <hyperlinks>
    <hyperlink ref="F67" r:id="rId1" display="https://www.instagram.com/p/Ddlj-kosQ2h/"/>
    <hyperlink ref="F68" r:id="rId2" display="https://www.instagram.com/p/DeIXFGUMxmL/"/>
    <hyperlink ref="F69" r:id="rId3" display="https://www.instagram.com/p/DeIXZFdsCGd/"/>
    <hyperlink ref="F72" r:id="rId4" display="https://www.instagram.com/p/DdmINpvsuGs/"/>
    <hyperlink ref="F74" r:id="rId5" display="https://www.instagram.com/p/Dd6t_drNhuS/"/>
    <hyperlink ref="F75" r:id="rId6" display="https://www.instagram.com/p/DdwN0y8t_Xg/"/>
    <hyperlink ref="F77" r:id="rId7" display="https://www.instagram.com/p/DeMqmuiiY6J/"/>
    <hyperlink ref="F78" r:id="rId8" display="https://www.instagram.com/p/Dd_4AYBiSwh/"/>
    <hyperlink ref="F88" r:id="rId9" display="https://www.instagram.com/jadeorlhabit_/"/>
    <hyperlink ref="F89" r:id="rId10" display="https://www.instagram.com/p/Ddqo1FvtNyH/"/>
    <hyperlink ref="F90" r:id="rId11" display="https://www.instagram.com/p/DeOsvhjhDoP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8" min="7" style="0" width="12"/>
    <col collapsed="false" customWidth="true" hidden="false" outlineLevel="0" max="9" min="9" style="0" width="34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60"/>
    <col collapsed="false" customWidth="true" hidden="false" outlineLevel="0" max="14" min="14" style="0" width="80"/>
    <col collapsed="false" customWidth="true" hidden="false" outlineLevel="0" max="15" min="15" style="0" width="44"/>
    <col collapsed="false" customWidth="true" hidden="false" outlineLevel="0" max="16" min="16" style="0" width="22"/>
  </cols>
  <sheetData>
    <row r="1" customFormat="false" ht="42" hidden="false" customHeight="true" outlineLevel="0" collapsed="false">
      <c r="A1" s="1" t="s">
        <v>199</v>
      </c>
      <c r="B1" s="1" t="s">
        <v>200</v>
      </c>
      <c r="C1" s="1" t="s">
        <v>203</v>
      </c>
      <c r="D1" s="1" t="s">
        <v>1075</v>
      </c>
      <c r="E1" s="1" t="s">
        <v>1076</v>
      </c>
      <c r="F1" s="1" t="s">
        <v>1077</v>
      </c>
      <c r="G1" s="1" t="s">
        <v>1078</v>
      </c>
      <c r="H1" s="1" t="s">
        <v>1079</v>
      </c>
      <c r="I1" s="1" t="s">
        <v>1080</v>
      </c>
      <c r="J1" s="1" t="s">
        <v>1081</v>
      </c>
      <c r="K1" s="1" t="s">
        <v>215</v>
      </c>
      <c r="L1" s="1" t="s">
        <v>1082</v>
      </c>
      <c r="M1" s="1" t="s">
        <v>1083</v>
      </c>
      <c r="N1" s="1" t="s">
        <v>1084</v>
      </c>
      <c r="O1" s="1" t="s">
        <v>1085</v>
      </c>
      <c r="P1" s="1" t="s">
        <v>1086</v>
      </c>
    </row>
    <row r="2" customFormat="false" ht="23.85" hidden="false" customHeight="false" outlineLevel="0" collapsed="false">
      <c r="A2" s="2" t="s">
        <v>36</v>
      </c>
      <c r="B2" s="2" t="s">
        <v>37</v>
      </c>
      <c r="C2" s="2" t="s">
        <v>275</v>
      </c>
      <c r="D2" s="8" t="n">
        <f aca="false">IFERROR(INDEX('ALL CANDIDATES'!$P$2:$P$63,MATCH($B2,'ALL CANDIDATES'!$C$2:$C$63,0)),"")</f>
        <v>46282</v>
      </c>
      <c r="E2" s="20" t="str">
        <f aca="false">IFERROR(INDEX('ALL CANDIDATES'!$Q$2:$Q$63,MATCH($B2,'ALL CANDIDATES'!$C$2:$C$63,0)),"")</f>
        <v>Full history loaded - first post</v>
      </c>
      <c r="F2" s="3" t="s">
        <v>1087</v>
      </c>
      <c r="G2" s="8" t="n">
        <f aca="false">IFERROR(INDEX('ALL CANDIDATES'!$AI$2:$AI$63,MATCH($B2,'ALL CANDIDATES'!$C$2:$C$63,0)),"")</f>
        <v>46284</v>
      </c>
      <c r="H2" s="4" t="n">
        <f aca="false">IFERROR(INDEX('ALL CANDIDATES'!$AG$2:$AG$63,MATCH($B2,'ALL CANDIDATES'!$C$2:$C$63,0)),"")</f>
        <v>1708185</v>
      </c>
      <c r="I2" s="6" t="str">
        <f aca="false">IFERROR(INDEX('ALL CANDIDATES'!$AH$2:$AH$63,MATCH($B2,'ALL CANDIDATES'!$C$2:$C$63,0)),"")</f>
        <v>https://www.instagram.com/p/Ddb0QUyqnhG/</v>
      </c>
      <c r="J2" s="2" t="n">
        <f aca="false">IF(OR(D2="",G2=""),"",G2-D2)</f>
        <v>2</v>
      </c>
      <c r="K2" s="8" t="n">
        <f aca="false">IFERROR(INDEX('ALL CANDIDATES'!$R$2:$R$63,MATCH($B2,'ALL CANDIDATES'!$C$2:$C$63,0)),"")</f>
        <v>46302</v>
      </c>
      <c r="L2" s="2" t="n">
        <f aca="false">IF(OR(D2="",K2=""),"",K2-D2)</f>
        <v>20</v>
      </c>
      <c r="M2" s="9" t="s">
        <v>1088</v>
      </c>
      <c r="N2" s="9" t="s">
        <v>1089</v>
      </c>
      <c r="O2" s="9" t="s">
        <v>1090</v>
      </c>
      <c r="P2" s="2" t="s">
        <v>1091</v>
      </c>
    </row>
    <row r="3" customFormat="false" ht="23.85" hidden="false" customHeight="false" outlineLevel="0" collapsed="false">
      <c r="A3" s="2" t="s">
        <v>60</v>
      </c>
      <c r="B3" s="2" t="s">
        <v>61</v>
      </c>
      <c r="C3" s="2" t="s">
        <v>275</v>
      </c>
      <c r="D3" s="8" t="n">
        <f aca="false">IFERROR(INDEX('ALL CANDIDATES'!$P$2:$P$63,MATCH($B3,'ALL CANDIDATES'!$C$2:$C$63,0)),"")</f>
        <v>46292</v>
      </c>
      <c r="E3" s="20" t="str">
        <f aca="false">IFERROR(INDEX('ALL CANDIDATES'!$Q$2:$Q$63,MATCH($B3,'ALL CANDIDATES'!$C$2:$C$63,0)),"")</f>
        <v>Full history loaded - first post</v>
      </c>
      <c r="F3" s="3" t="s">
        <v>1092</v>
      </c>
      <c r="G3" s="8" t="n">
        <f aca="false">IFERROR(INDEX('ALL CANDIDATES'!$AI$2:$AI$63,MATCH($B3,'ALL CANDIDATES'!$C$2:$C$63,0)),"")</f>
        <v>46294</v>
      </c>
      <c r="H3" s="4" t="n">
        <f aca="false">IFERROR(INDEX('ALL CANDIDATES'!$AG$2:$AG$63,MATCH($B3,'ALL CANDIDATES'!$C$2:$C$63,0)),"")</f>
        <v>846425</v>
      </c>
      <c r="I3" s="6" t="str">
        <f aca="false">IFERROR(INDEX('ALL CANDIDATES'!$AH$2:$AH$63,MATCH($B3,'ALL CANDIDATES'!$C$2:$C$63,0)),"")</f>
        <v>https://www.instagram.com/p/Dd2joiwTDJv/</v>
      </c>
      <c r="J3" s="2" t="n">
        <f aca="false">IF(OR(D3="",G3=""),"",G3-D3)</f>
        <v>2</v>
      </c>
      <c r="K3" s="8" t="n">
        <f aca="false">IFERROR(INDEX('ALL CANDIDATES'!$R$2:$R$63,MATCH($B3,'ALL CANDIDATES'!$C$2:$C$63,0)),"")</f>
        <v>46303</v>
      </c>
      <c r="L3" s="2" t="n">
        <f aca="false">IF(OR(D3="",K3=""),"",K3-D3)</f>
        <v>11</v>
      </c>
      <c r="M3" s="9" t="s">
        <v>1093</v>
      </c>
      <c r="N3" s="9" t="s">
        <v>1094</v>
      </c>
      <c r="O3" s="9" t="s">
        <v>1095</v>
      </c>
      <c r="P3" s="2" t="s">
        <v>1096</v>
      </c>
    </row>
    <row r="4" customFormat="false" ht="23.85" hidden="false" customHeight="false" outlineLevel="0" collapsed="false">
      <c r="A4" s="2" t="s">
        <v>84</v>
      </c>
      <c r="B4" s="2" t="s">
        <v>85</v>
      </c>
      <c r="C4" s="2" t="s">
        <v>275</v>
      </c>
      <c r="D4" s="8" t="n">
        <f aca="false">IFERROR(INDEX('ALL CANDIDATES'!$P$2:$P$63,MATCH($B4,'ALL CANDIDATES'!$C$2:$C$63,0)),"")</f>
        <v>46290</v>
      </c>
      <c r="E4" s="20" t="str">
        <f aca="false">IFERROR(INDEX('ALL CANDIDATES'!$Q$2:$Q$63,MATCH($B4,'ALL CANDIDATES'!$C$2:$C$63,0)),"")</f>
        <v>Full history loaded - first post</v>
      </c>
      <c r="F4" s="2"/>
      <c r="G4" s="8" t="n">
        <f aca="false">IFERROR(INDEX('ALL CANDIDATES'!$AI$2:$AI$63,MATCH($B4,'ALL CANDIDATES'!$C$2:$C$63,0)),"")</f>
        <v>46291</v>
      </c>
      <c r="H4" s="4" t="n">
        <f aca="false">IFERROR(INDEX('ALL CANDIDATES'!$AG$2:$AG$63,MATCH($B4,'ALL CANDIDATES'!$C$2:$C$63,0)),"")</f>
        <v>379725</v>
      </c>
      <c r="I4" s="6" t="str">
        <f aca="false">IFERROR(INDEX('ALL CANDIDATES'!$AH$2:$AH$63,MATCH($B4,'ALL CANDIDATES'!$C$2:$C$63,0)),"")</f>
        <v>https://www.instagram.com/p/DdwhswgBSFq/</v>
      </c>
      <c r="J4" s="2" t="n">
        <f aca="false">IF(OR(D4="",G4=""),"",G4-D4)</f>
        <v>1</v>
      </c>
      <c r="K4" s="8" t="n">
        <f aca="false">IFERROR(INDEX('ALL CANDIDATES'!$R$2:$R$63,MATCH($B4,'ALL CANDIDATES'!$C$2:$C$63,0)),"")</f>
        <v>46304</v>
      </c>
      <c r="L4" s="2" t="n">
        <f aca="false">IF(OR(D4="",K4=""),"",K4-D4)</f>
        <v>14</v>
      </c>
      <c r="M4" s="9" t="s">
        <v>1097</v>
      </c>
      <c r="N4" s="9" t="s">
        <v>1098</v>
      </c>
      <c r="O4" s="9" t="s">
        <v>1099</v>
      </c>
      <c r="P4" s="2" t="s">
        <v>1100</v>
      </c>
    </row>
    <row r="5" customFormat="false" ht="23.85" hidden="false" customHeight="false" outlineLevel="0" collapsed="false">
      <c r="A5" s="2" t="s">
        <v>107</v>
      </c>
      <c r="B5" s="2" t="s">
        <v>108</v>
      </c>
      <c r="C5" s="2" t="s">
        <v>275</v>
      </c>
      <c r="D5" s="8" t="n">
        <f aca="false">IFERROR(INDEX('ALL CANDIDATES'!$P$2:$P$63,MATCH($B5,'ALL CANDIDATES'!$C$2:$C$63,0)),"")</f>
        <v>46285</v>
      </c>
      <c r="E5" s="20" t="str">
        <f aca="false">IFERROR(INDEX('ALL CANDIDATES'!$Q$2:$Q$63,MATCH($B5,'ALL CANDIDATES'!$C$2:$C$63,0)),"")</f>
        <v>Full history loaded - first post</v>
      </c>
      <c r="F5" s="3" t="s">
        <v>1101</v>
      </c>
      <c r="G5" s="8" t="n">
        <f aca="false">IFERROR(INDEX('ALL CANDIDATES'!$AI$2:$AI$63,MATCH($B5,'ALL CANDIDATES'!$C$2:$C$63,0)),"")</f>
        <v>46287</v>
      </c>
      <c r="H5" s="4" t="n">
        <f aca="false">IFERROR(INDEX('ALL CANDIDATES'!$AG$2:$AG$63,MATCH($B5,'ALL CANDIDATES'!$C$2:$C$63,0)),"")</f>
        <v>1106935</v>
      </c>
      <c r="I5" s="6" t="str">
        <f aca="false">IFERROR(INDEX('ALL CANDIDATES'!$AH$2:$AH$63,MATCH($B5,'ALL CANDIDATES'!$C$2:$C$63,0)),"")</f>
        <v>https://www.instagram.com/p/DdmQOpyMNfr/</v>
      </c>
      <c r="J5" s="2" t="n">
        <f aca="false">IF(OR(D5="",G5=""),"",G5-D5)</f>
        <v>2</v>
      </c>
      <c r="K5" s="8" t="n">
        <f aca="false">IFERROR(INDEX('ALL CANDIDATES'!$R$2:$R$63,MATCH($B5,'ALL CANDIDATES'!$C$2:$C$63,0)),"")</f>
        <v>46302</v>
      </c>
      <c r="L5" s="2" t="n">
        <f aca="false">IF(OR(D5="",K5=""),"",K5-D5)</f>
        <v>17</v>
      </c>
      <c r="M5" s="9" t="s">
        <v>1102</v>
      </c>
      <c r="N5" s="9" t="s">
        <v>1103</v>
      </c>
      <c r="O5" s="9" t="s">
        <v>1104</v>
      </c>
      <c r="P5" s="2" t="s">
        <v>1105</v>
      </c>
    </row>
    <row r="6" customFormat="false" ht="35.05" hidden="false" customHeight="false" outlineLevel="0" collapsed="false">
      <c r="A6" s="2" t="s">
        <v>130</v>
      </c>
      <c r="B6" s="2" t="s">
        <v>131</v>
      </c>
      <c r="C6" s="2" t="s">
        <v>275</v>
      </c>
      <c r="D6" s="8" t="n">
        <f aca="false">IFERROR(INDEX('ALL CANDIDATES'!$P$2:$P$63,MATCH($B6,'ALL CANDIDATES'!$C$2:$C$63,0)),"")</f>
        <v>46290</v>
      </c>
      <c r="E6" s="20" t="str">
        <f aca="false">IFERROR(INDEX('ALL CANDIDATES'!$Q$2:$Q$63,MATCH($B6,'ALL CANDIDATES'!$C$2:$C$63,0)),"")</f>
        <v>Full history loaded - first post</v>
      </c>
      <c r="F6" s="3" t="s">
        <v>1106</v>
      </c>
      <c r="G6" s="8" t="n">
        <f aca="false">IFERROR(INDEX('ALL CANDIDATES'!$AI$2:$AI$63,MATCH($B6,'ALL CANDIDATES'!$C$2:$C$63,0)),"")</f>
        <v>46290</v>
      </c>
      <c r="H6" s="4" t="n">
        <f aca="false">IFERROR(INDEX('ALL CANDIDATES'!$AG$2:$AG$63,MATCH($B6,'ALL CANDIDATES'!$C$2:$C$63,0)),"")</f>
        <v>1392520</v>
      </c>
      <c r="I6" s="6" t="str">
        <f aca="false">IFERROR(INDEX('ALL CANDIDATES'!$AH$2:$AH$63,MATCH($B6,'ALL CANDIDATES'!$C$2:$C$63,0)),"")</f>
        <v>https://www.instagram.com/p/Dduf1zGNri-/</v>
      </c>
      <c r="J6" s="2" t="n">
        <f aca="false">IF(OR(D6="",G6=""),"",G6-D6)</f>
        <v>0</v>
      </c>
      <c r="K6" s="8" t="n">
        <f aca="false">IFERROR(INDEX('ALL CANDIDATES'!$R$2:$R$63,MATCH($B6,'ALL CANDIDATES'!$C$2:$C$63,0)),"")</f>
        <v>46303</v>
      </c>
      <c r="L6" s="2" t="n">
        <f aca="false">IF(OR(D6="",K6=""),"",K6-D6)</f>
        <v>13</v>
      </c>
      <c r="M6" s="9" t="s">
        <v>1107</v>
      </c>
      <c r="N6" s="9" t="s">
        <v>1108</v>
      </c>
      <c r="O6" s="9" t="s">
        <v>1109</v>
      </c>
      <c r="P6" s="2" t="s">
        <v>1110</v>
      </c>
    </row>
    <row r="7" customFormat="false" ht="23.85" hidden="false" customHeight="false" outlineLevel="0" collapsed="false">
      <c r="A7" s="2" t="s">
        <v>152</v>
      </c>
      <c r="B7" s="2" t="s">
        <v>153</v>
      </c>
      <c r="C7" s="2" t="s">
        <v>275</v>
      </c>
      <c r="D7" s="8" t="n">
        <f aca="false">IFERROR(INDEX('ALL CANDIDATES'!$P$2:$P$63,MATCH($B7,'ALL CANDIDATES'!$C$2:$C$63,0)),"")</f>
        <v>46291</v>
      </c>
      <c r="E7" s="20" t="str">
        <f aca="false">IFERROR(INDEX('ALL CANDIDATES'!$Q$2:$Q$63,MATCH($B7,'ALL CANDIDATES'!$C$2:$C$63,0)),"")</f>
        <v>Full history loaded - first post</v>
      </c>
      <c r="F7" s="3" t="s">
        <v>1035</v>
      </c>
      <c r="G7" s="8" t="n">
        <f aca="false">IFERROR(INDEX('ALL CANDIDATES'!$AI$2:$AI$63,MATCH($B7,'ALL CANDIDATES'!$C$2:$C$63,0)),"")</f>
        <v>46299</v>
      </c>
      <c r="H7" s="4" t="n">
        <f aca="false">IFERROR(INDEX('ALL CANDIDATES'!$AG$2:$AG$63,MATCH($B7,'ALL CANDIDATES'!$C$2:$C$63,0)),"")</f>
        <v>17442</v>
      </c>
      <c r="I7" s="6" t="str">
        <f aca="false">IFERROR(INDEX('ALL CANDIDATES'!$AH$2:$AH$63,MATCH($B7,'ALL CANDIDATES'!$C$2:$C$63,0)),"")</f>
        <v>https://www.instagram.com/p/DeEZ0sEN_Hy/</v>
      </c>
      <c r="J7" s="2" t="n">
        <f aca="false">IF(OR(D7="",G7=""),"",G7-D7)</f>
        <v>8</v>
      </c>
      <c r="K7" s="8" t="n">
        <f aca="false">IFERROR(INDEX('ALL CANDIDATES'!$R$2:$R$63,MATCH($B7,'ALL CANDIDATES'!$C$2:$C$63,0)),"")</f>
        <v>46303</v>
      </c>
      <c r="L7" s="2" t="n">
        <f aca="false">IF(OR(D7="",K7=""),"",K7-D7)</f>
        <v>12</v>
      </c>
      <c r="M7" s="9" t="s">
        <v>1111</v>
      </c>
      <c r="N7" s="9" t="s">
        <v>1112</v>
      </c>
      <c r="O7" s="9" t="s">
        <v>1113</v>
      </c>
      <c r="P7" s="2" t="s">
        <v>1114</v>
      </c>
    </row>
    <row r="8" customFormat="false" ht="23.85" hidden="false" customHeight="false" outlineLevel="0" collapsed="false">
      <c r="A8" s="2" t="s">
        <v>175</v>
      </c>
      <c r="B8" s="2" t="s">
        <v>176</v>
      </c>
      <c r="C8" s="2" t="s">
        <v>275</v>
      </c>
      <c r="D8" s="8" t="n">
        <f aca="false">IFERROR(INDEX('ALL CANDIDATES'!$P$2:$P$63,MATCH($B8,'ALL CANDIDATES'!$C$2:$C$63,0)),"")</f>
        <v>46287</v>
      </c>
      <c r="E8" s="20" t="str">
        <f aca="false">IFERROR(INDEX('ALL CANDIDATES'!$Q$2:$Q$63,MATCH($B8,'ALL CANDIDATES'!$C$2:$C$63,0)),"")</f>
        <v>Full history loaded - first post</v>
      </c>
      <c r="F8" s="2"/>
      <c r="G8" s="8" t="n">
        <f aca="false">IFERROR(INDEX('ALL CANDIDATES'!$AI$2:$AI$63,MATCH($B8,'ALL CANDIDATES'!$C$2:$C$63,0)),"")</f>
        <v>46289</v>
      </c>
      <c r="H8" s="4" t="n">
        <f aca="false">IFERROR(INDEX('ALL CANDIDATES'!$AG$2:$AG$63,MATCH($B8,'ALL CANDIDATES'!$C$2:$C$63,0)),"")</f>
        <v>52286</v>
      </c>
      <c r="I8" s="6" t="str">
        <f aca="false">IFERROR(INDEX('ALL CANDIDATES'!$AH$2:$AH$63,MATCH($B8,'ALL CANDIDATES'!$C$2:$C$63,0)),"")</f>
        <v>https://www.instagram.com/p/Ddqo1FvtNyH/</v>
      </c>
      <c r="J8" s="2" t="n">
        <f aca="false">IF(OR(D8="",G8=""),"",G8-D8)</f>
        <v>2</v>
      </c>
      <c r="K8" s="8" t="n">
        <f aca="false">IFERROR(INDEX('ALL CANDIDATES'!$R$2:$R$63,MATCH($B8,'ALL CANDIDATES'!$C$2:$C$63,0)),"")</f>
        <v>46297</v>
      </c>
      <c r="L8" s="2" t="n">
        <f aca="false">IF(OR(D8="",K8=""),"",K8-D8)</f>
        <v>10</v>
      </c>
      <c r="M8" s="9" t="s">
        <v>1115</v>
      </c>
      <c r="N8" s="9" t="s">
        <v>1116</v>
      </c>
      <c r="O8" s="9" t="s">
        <v>1117</v>
      </c>
      <c r="P8" s="2" t="s">
        <v>1118</v>
      </c>
    </row>
    <row r="9" customFormat="false" ht="23.85" hidden="false" customHeight="false" outlineLevel="0" collapsed="false">
      <c r="A9" s="2" t="s">
        <v>347</v>
      </c>
      <c r="B9" s="2" t="s">
        <v>348</v>
      </c>
      <c r="C9" s="2" t="s">
        <v>275</v>
      </c>
      <c r="D9" s="8" t="n">
        <f aca="false">IFERROR(INDEX('ALL CANDIDATES'!$P$2:$P$63,MATCH($B9,'ALL CANDIDATES'!$C$2:$C$63,0)),"")</f>
        <v>46288</v>
      </c>
      <c r="E9" s="20" t="str">
        <f aca="false">IFERROR(INDEX('ALL CANDIDATES'!$Q$2:$Q$63,MATCH($B9,'ALL CANDIDATES'!$C$2:$C$63,0)),"")</f>
        <v>Oldest of 24 returned posts</v>
      </c>
      <c r="F9" s="2"/>
      <c r="G9" s="8" t="n">
        <f aca="false">IFERROR(INDEX('ALL CANDIDATES'!$AI$2:$AI$63,MATCH($B9,'ALL CANDIDATES'!$C$2:$C$63,0)),"")</f>
        <v>46294</v>
      </c>
      <c r="H9" s="4" t="n">
        <f aca="false">IFERROR(INDEX('ALL CANDIDATES'!$AG$2:$AG$63,MATCH($B9,'ALL CANDIDATES'!$C$2:$C$63,0)),"")</f>
        <v>3150423</v>
      </c>
      <c r="I9" s="6" t="str">
        <f aca="false">IFERROR(INDEX('ALL CANDIDATES'!$AH$2:$AH$63,MATCH($B9,'ALL CANDIDATES'!$C$2:$C$63,0)),"")</f>
        <v>https://www.instagram.com/p/Dd1y2m2sMRB/</v>
      </c>
      <c r="J9" s="2" t="n">
        <f aca="false">IF(OR(D9="",G9=""),"",G9-D9)</f>
        <v>6</v>
      </c>
      <c r="K9" s="8" t="n">
        <f aca="false">IFERROR(INDEX('ALL CANDIDATES'!$R$2:$R$63,MATCH($B9,'ALL CANDIDATES'!$C$2:$C$63,0)),"")</f>
        <v>46303</v>
      </c>
      <c r="L9" s="2" t="n">
        <f aca="false">IF(OR(D9="",K9=""),"",K9-D9)</f>
        <v>15</v>
      </c>
      <c r="M9" s="9" t="s">
        <v>1119</v>
      </c>
      <c r="N9" s="9" t="s">
        <v>1120</v>
      </c>
      <c r="O9" s="9" t="s">
        <v>1121</v>
      </c>
      <c r="P9" s="2" t="s">
        <v>1122</v>
      </c>
    </row>
    <row r="10" customFormat="false" ht="15" hidden="false" customHeight="false" outlineLevel="0" collapsed="false">
      <c r="A10" s="2" t="s">
        <v>367</v>
      </c>
      <c r="B10" s="2" t="s">
        <v>368</v>
      </c>
      <c r="C10" s="2" t="s">
        <v>275</v>
      </c>
      <c r="D10" s="8" t="n">
        <f aca="false">IFERROR(INDEX('ALL CANDIDATES'!$P$2:$P$63,MATCH($B10,'ALL CANDIDATES'!$C$2:$C$63,0)),"")</f>
        <v>46276</v>
      </c>
      <c r="E10" s="20" t="str">
        <f aca="false">IFERROR(INDEX('ALL CANDIDATES'!$Q$2:$Q$63,MATCH($B10,'ALL CANDIDATES'!$C$2:$C$63,0)),"")</f>
        <v>Oldest of 32 sampled posts</v>
      </c>
      <c r="F10" s="2"/>
      <c r="G10" s="8" t="n">
        <f aca="false">IFERROR(INDEX('ALL CANDIDATES'!$AI$2:$AI$63,MATCH($B10,'ALL CANDIDATES'!$C$2:$C$63,0)),"")</f>
        <v>0</v>
      </c>
      <c r="H10" s="4" t="n">
        <f aca="false">IFERROR(INDEX('ALL CANDIDATES'!$AG$2:$AG$63,MATCH($B10,'ALL CANDIDATES'!$C$2:$C$63,0)),"")</f>
        <v>672934</v>
      </c>
      <c r="I10" s="6" t="n">
        <f aca="false">IFERROR(INDEX('ALL CANDIDATES'!$AH$2:$AH$63,MATCH($B10,'ALL CANDIDATES'!$C$2:$C$63,0)),"")</f>
        <v>0</v>
      </c>
      <c r="J10" s="2" t="str">
        <f aca="false">IF(OR(D10="",G10=""),"",G10-D10)</f>
        <v/>
      </c>
      <c r="K10" s="8" t="n">
        <f aca="false">IFERROR(INDEX('ALL CANDIDATES'!$R$2:$R$63,MATCH($B10,'ALL CANDIDATES'!$C$2:$C$63,0)),"")</f>
        <v>46303</v>
      </c>
      <c r="L10" s="2" t="n">
        <f aca="false">IF(OR(D10="",K10=""),"",K10-D10)</f>
        <v>27</v>
      </c>
      <c r="M10" s="9" t="s">
        <v>1123</v>
      </c>
      <c r="N10" s="9" t="s">
        <v>1124</v>
      </c>
      <c r="O10" s="9" t="s">
        <v>1125</v>
      </c>
      <c r="P10" s="2" t="s">
        <v>1126</v>
      </c>
    </row>
    <row r="11" customFormat="false" ht="15" hidden="false" customHeight="false" outlineLevel="0" collapsed="false">
      <c r="A11" s="2" t="s">
        <v>384</v>
      </c>
      <c r="B11" s="2" t="s">
        <v>385</v>
      </c>
      <c r="C11" s="2" t="s">
        <v>275</v>
      </c>
      <c r="D11" s="8" t="n">
        <f aca="false">IFERROR(INDEX('ALL CANDIDATES'!$P$2:$P$63,MATCH($B11,'ALL CANDIDATES'!$C$2:$C$63,0)),"")</f>
        <v>46283</v>
      </c>
      <c r="E11" s="20" t="str">
        <f aca="false">IFERROR(INDEX('ALL CANDIDATES'!$Q$2:$Q$63,MATCH($B11,'ALL CANDIDATES'!$C$2:$C$63,0)),"")</f>
        <v>Oldest of 22 sampled posts</v>
      </c>
      <c r="F11" s="2"/>
      <c r="G11" s="8" t="n">
        <f aca="false">IFERROR(INDEX('ALL CANDIDATES'!$AI$2:$AI$63,MATCH($B11,'ALL CANDIDATES'!$C$2:$C$63,0)),"")</f>
        <v>46296</v>
      </c>
      <c r="H11" s="4" t="n">
        <f aca="false">IFERROR(INDEX('ALL CANDIDATES'!$AG$2:$AG$63,MATCH($B11,'ALL CANDIDATES'!$C$2:$C$63,0)),"")</f>
        <v>527299</v>
      </c>
      <c r="I11" s="6" t="str">
        <f aca="false">IFERROR(INDEX('ALL CANDIDATES'!$AH$2:$AH$63,MATCH($B11,'ALL CANDIDATES'!$C$2:$C$63,0)),"")</f>
        <v>https://www.instagram.com/p/Dd85audNoC2/</v>
      </c>
      <c r="J11" s="2" t="n">
        <f aca="false">IF(OR(D11="",G11=""),"",G11-D11)</f>
        <v>13</v>
      </c>
      <c r="K11" s="8" t="n">
        <f aca="false">IFERROR(INDEX('ALL CANDIDATES'!$R$2:$R$63,MATCH($B11,'ALL CANDIDATES'!$C$2:$C$63,0)),"")</f>
        <v>46302</v>
      </c>
      <c r="L11" s="2" t="n">
        <f aca="false">IF(OR(D11="",K11=""),"",K11-D11)</f>
        <v>19</v>
      </c>
      <c r="M11" s="9" t="s">
        <v>1127</v>
      </c>
      <c r="N11" s="9" t="s">
        <v>1128</v>
      </c>
      <c r="O11" s="9" t="s">
        <v>1125</v>
      </c>
      <c r="P11" s="2" t="s">
        <v>1129</v>
      </c>
    </row>
    <row r="12" customFormat="false" ht="15" hidden="false" customHeight="false" outlineLevel="0" collapsed="false">
      <c r="A12" s="2" t="s">
        <v>399</v>
      </c>
      <c r="B12" s="2" t="s">
        <v>400</v>
      </c>
      <c r="C12" s="2" t="s">
        <v>275</v>
      </c>
      <c r="D12" s="8" t="n">
        <f aca="false">IFERROR(INDEX('ALL CANDIDATES'!$P$2:$P$63,MATCH($B12,'ALL CANDIDATES'!$C$2:$C$63,0)),"")</f>
        <v>46265</v>
      </c>
      <c r="E12" s="20" t="str">
        <f aca="false">IFERROR(INDEX('ALL CANDIDATES'!$Q$2:$Q$63,MATCH($B12,'ALL CANDIDATES'!$C$2:$C$63,0)),"")</f>
        <v>Pinned post date (oldest in sample)</v>
      </c>
      <c r="F12" s="2"/>
      <c r="G12" s="8" t="n">
        <f aca="false">IFERROR(INDEX('ALL CANDIDATES'!$AI$2:$AI$63,MATCH($B12,'ALL CANDIDATES'!$C$2:$C$63,0)),"")</f>
        <v>46265</v>
      </c>
      <c r="H12" s="4" t="n">
        <f aca="false">IFERROR(INDEX('ALL CANDIDATES'!$AG$2:$AG$63,MATCH($B12,'ALL CANDIDATES'!$C$2:$C$63,0)),"")</f>
        <v>794009</v>
      </c>
      <c r="I12" s="6" t="str">
        <f aca="false">IFERROR(INDEX('ALL CANDIDATES'!$AH$2:$AH$63,MATCH($B12,'ALL CANDIDATES'!$C$2:$C$63,0)),"")</f>
        <v>https://www.instagram.com/p/Dct28DASFLp/</v>
      </c>
      <c r="J12" s="2" t="n">
        <f aca="false">IF(OR(D12="",G12=""),"",G12-D12)</f>
        <v>0</v>
      </c>
      <c r="K12" s="8" t="n">
        <f aca="false">IFERROR(INDEX('ALL CANDIDATES'!$R$2:$R$63,MATCH($B12,'ALL CANDIDATES'!$C$2:$C$63,0)),"")</f>
        <v>46304</v>
      </c>
      <c r="L12" s="2" t="n">
        <f aca="false">IF(OR(D12="",K12=""),"",K12-D12)</f>
        <v>39</v>
      </c>
      <c r="M12" s="9" t="s">
        <v>1130</v>
      </c>
      <c r="N12" s="9" t="s">
        <v>1131</v>
      </c>
      <c r="O12" s="9" t="s">
        <v>1125</v>
      </c>
      <c r="P12" s="2" t="s">
        <v>1132</v>
      </c>
    </row>
    <row r="13" customFormat="false" ht="15" hidden="false" customHeight="false" outlineLevel="0" collapsed="false">
      <c r="A13" s="2" t="s">
        <v>414</v>
      </c>
      <c r="B13" s="2" t="s">
        <v>415</v>
      </c>
      <c r="C13" s="2" t="s">
        <v>275</v>
      </c>
      <c r="D13" s="8" t="n">
        <f aca="false">IFERROR(INDEX('ALL CANDIDATES'!$P$2:$P$63,MATCH($B13,'ALL CANDIDATES'!$C$2:$C$63,0)),"")</f>
        <v>46291</v>
      </c>
      <c r="E13" s="20" t="str">
        <f aca="false">IFERROR(INDEX('ALL CANDIDATES'!$Q$2:$Q$63,MATCH($B13,'ALL CANDIDATES'!$C$2:$C$63,0)),"")</f>
        <v>Oldest of 22 sampled posts</v>
      </c>
      <c r="F13" s="2"/>
      <c r="G13" s="8" t="n">
        <f aca="false">IFERROR(INDEX('ALL CANDIDATES'!$AI$2:$AI$63,MATCH($B13,'ALL CANDIDATES'!$C$2:$C$63,0)),"")</f>
        <v>46291</v>
      </c>
      <c r="H13" s="4" t="n">
        <f aca="false">IFERROR(INDEX('ALL CANDIDATES'!$AG$2:$AG$63,MATCH($B13,'ALL CANDIDATES'!$C$2:$C$63,0)),"")</f>
        <v>37862</v>
      </c>
      <c r="I13" s="6" t="str">
        <f aca="false">IFERROR(INDEX('ALL CANDIDATES'!$AH$2:$AH$63,MATCH($B13,'ALL CANDIDATES'!$C$2:$C$63,0)),"")</f>
        <v>https://www.instagram.com/p/Ddvayy5Otjf/</v>
      </c>
      <c r="J13" s="2" t="n">
        <f aca="false">IF(OR(D13="",G13=""),"",G13-D13)</f>
        <v>0</v>
      </c>
      <c r="K13" s="8" t="n">
        <f aca="false">IFERROR(INDEX('ALL CANDIDATES'!$R$2:$R$63,MATCH($B13,'ALL CANDIDATES'!$C$2:$C$63,0)),"")</f>
        <v>46303</v>
      </c>
      <c r="L13" s="2" t="n">
        <f aca="false">IF(OR(D13="",K13=""),"",K13-D13)</f>
        <v>12</v>
      </c>
      <c r="M13" s="9"/>
      <c r="N13" s="9"/>
      <c r="O13" s="9"/>
      <c r="P13" s="2"/>
    </row>
    <row r="14" customFormat="false" ht="15" hidden="false" customHeight="false" outlineLevel="0" collapsed="false">
      <c r="A14" s="2" t="s">
        <v>427</v>
      </c>
      <c r="B14" s="2" t="s">
        <v>428</v>
      </c>
      <c r="C14" s="2" t="s">
        <v>275</v>
      </c>
      <c r="D14" s="8" t="n">
        <f aca="false">IFERROR(INDEX('ALL CANDIDATES'!$P$2:$P$63,MATCH($B14,'ALL CANDIDATES'!$C$2:$C$63,0)),"")</f>
        <v>46296</v>
      </c>
      <c r="E14" s="20" t="str">
        <f aca="false">IFERROR(INDEX('ALL CANDIDATES'!$Q$2:$Q$63,MATCH($B14,'ALL CANDIDATES'!$C$2:$C$63,0)),"")</f>
        <v>Oldest of 12 sampled posts</v>
      </c>
      <c r="F14" s="2"/>
      <c r="G14" s="8" t="n">
        <f aca="false">IFERROR(INDEX('ALL CANDIDATES'!$AI$2:$AI$63,MATCH($B14,'ALL CANDIDATES'!$C$2:$C$63,0)),"")</f>
        <v>46293</v>
      </c>
      <c r="H14" s="4" t="n">
        <f aca="false">IFERROR(INDEX('ALL CANDIDATES'!$AG$2:$AG$63,MATCH($B14,'ALL CANDIDATES'!$C$2:$C$63,0)),"")</f>
        <v>382660</v>
      </c>
      <c r="I14" s="6" t="str">
        <f aca="false">IFERROR(INDEX('ALL CANDIDATES'!$AH$2:$AH$63,MATCH($B14,'ALL CANDIDATES'!$C$2:$C$63,0)),"")</f>
        <v>https://www.instagram.com/p/Dd0ONAHuI9A/</v>
      </c>
      <c r="J14" s="2" t="n">
        <f aca="false">IF(OR(D14="",G14=""),"",G14-D14)</f>
        <v>-3</v>
      </c>
      <c r="K14" s="8" t="n">
        <f aca="false">IFERROR(INDEX('ALL CANDIDATES'!$R$2:$R$63,MATCH($B14,'ALL CANDIDATES'!$C$2:$C$63,0)),"")</f>
        <v>46303</v>
      </c>
      <c r="L14" s="2" t="n">
        <f aca="false">IF(OR(D14="",K14=""),"",K14-D14)</f>
        <v>7</v>
      </c>
      <c r="M14" s="9"/>
      <c r="N14" s="9"/>
      <c r="O14" s="9"/>
      <c r="P14" s="2"/>
    </row>
    <row r="15" customFormat="false" ht="15" hidden="false" customHeight="false" outlineLevel="0" collapsed="false">
      <c r="A15" s="2" t="s">
        <v>443</v>
      </c>
      <c r="B15" s="2" t="s">
        <v>444</v>
      </c>
      <c r="C15" s="2" t="s">
        <v>275</v>
      </c>
      <c r="D15" s="8" t="n">
        <f aca="false">IFERROR(INDEX('ALL CANDIDATES'!$P$2:$P$63,MATCH($B15,'ALL CANDIDATES'!$C$2:$C$63,0)),"")</f>
        <v>46300</v>
      </c>
      <c r="E15" s="20" t="str">
        <f aca="false">IFERROR(INDEX('ALL CANDIDATES'!$Q$2:$Q$63,MATCH($B15,'ALL CANDIDATES'!$C$2:$C$63,0)),"")</f>
        <v>Oldest of 22 sampled posts</v>
      </c>
      <c r="F15" s="2"/>
      <c r="G15" s="8" t="n">
        <f aca="false">IFERROR(INDEX('ALL CANDIDATES'!$AI$2:$AI$63,MATCH($B15,'ALL CANDIDATES'!$C$2:$C$63,0)),"")</f>
        <v>46300</v>
      </c>
      <c r="H15" s="4" t="n">
        <f aca="false">IFERROR(INDEX('ALL CANDIDATES'!$AG$2:$AG$63,MATCH($B15,'ALL CANDIDATES'!$C$2:$C$63,0)),"")</f>
        <v>632105</v>
      </c>
      <c r="I15" s="6" t="str">
        <f aca="false">IFERROR(INDEX('ALL CANDIDATES'!$AH$2:$AH$63,MATCH($B15,'ALL CANDIDATES'!$C$2:$C$63,0)),"")</f>
        <v>https://www.instagram.com/p/DeHe2fKTvjr/</v>
      </c>
      <c r="J15" s="2" t="n">
        <f aca="false">IF(OR(D15="",G15=""),"",G15-D15)</f>
        <v>0</v>
      </c>
      <c r="K15" s="8" t="n">
        <f aca="false">IFERROR(INDEX('ALL CANDIDATES'!$R$2:$R$63,MATCH($B15,'ALL CANDIDATES'!$C$2:$C$63,0)),"")</f>
        <v>46303</v>
      </c>
      <c r="L15" s="2" t="n">
        <f aca="false">IF(OR(D15="",K15=""),"",K15-D15)</f>
        <v>3</v>
      </c>
      <c r="M15" s="9" t="s">
        <v>1133</v>
      </c>
      <c r="N15" s="9" t="s">
        <v>1134</v>
      </c>
      <c r="O15" s="9" t="s">
        <v>1135</v>
      </c>
      <c r="P15" s="2" t="s">
        <v>1136</v>
      </c>
    </row>
    <row r="16" customFormat="false" ht="15" hidden="false" customHeight="false" outlineLevel="0" collapsed="false">
      <c r="A16" s="2" t="s">
        <v>461</v>
      </c>
      <c r="B16" s="2" t="s">
        <v>462</v>
      </c>
      <c r="C16" s="2" t="s">
        <v>275</v>
      </c>
      <c r="D16" s="8" t="n">
        <f aca="false">IFERROR(INDEX('ALL CANDIDATES'!$P$2:$P$63,MATCH($B16,'ALL CANDIDATES'!$C$2:$C$63,0)),"")</f>
        <v>46299</v>
      </c>
      <c r="E16" s="20" t="str">
        <f aca="false">IFERROR(INDEX('ALL CANDIDATES'!$Q$2:$Q$63,MATCH($B16,'ALL CANDIDATES'!$C$2:$C$63,0)),"")</f>
        <v>Oldest of 12 sampled posts</v>
      </c>
      <c r="F16" s="2"/>
      <c r="G16" s="8" t="n">
        <f aca="false">IFERROR(INDEX('ALL CANDIDATES'!$AI$2:$AI$63,MATCH($B16,'ALL CANDIDATES'!$C$2:$C$63,0)),"")</f>
        <v>46301</v>
      </c>
      <c r="H16" s="4" t="n">
        <f aca="false">IFERROR(INDEX('ALL CANDIDATES'!$AG$2:$AG$63,MATCH($B16,'ALL CANDIDATES'!$C$2:$C$63,0)),"")</f>
        <v>46360</v>
      </c>
      <c r="I16" s="6" t="str">
        <f aca="false">IFERROR(INDEX('ALL CANDIDATES'!$AH$2:$AH$63,MATCH($B16,'ALL CANDIDATES'!$C$2:$C$63,0)),"")</f>
        <v>https://www.instagram.com/p/DeK-uSCxbWx/</v>
      </c>
      <c r="J16" s="2" t="n">
        <f aca="false">IF(OR(D16="",G16=""),"",G16-D16)</f>
        <v>2</v>
      </c>
      <c r="K16" s="8" t="n">
        <f aca="false">IFERROR(INDEX('ALL CANDIDATES'!$R$2:$R$63,MATCH($B16,'ALL CANDIDATES'!$C$2:$C$63,0)),"")</f>
        <v>46303</v>
      </c>
      <c r="L16" s="2" t="n">
        <f aca="false">IF(OR(D16="",K16=""),"",K16-D16)</f>
        <v>4</v>
      </c>
      <c r="M16" s="9"/>
      <c r="N16" s="9"/>
      <c r="O16" s="9"/>
      <c r="P16" s="2"/>
    </row>
    <row r="17" customFormat="false" ht="15" hidden="false" customHeight="false" outlineLevel="0" collapsed="false">
      <c r="A17" s="2" t="s">
        <v>476</v>
      </c>
      <c r="B17" s="2" t="s">
        <v>477</v>
      </c>
      <c r="C17" s="2" t="s">
        <v>275</v>
      </c>
      <c r="D17" s="8" t="n">
        <f aca="false">IFERROR(INDEX('ALL CANDIDATES'!$P$2:$P$63,MATCH($B17,'ALL CANDIDATES'!$C$2:$C$63,0)),"")</f>
        <v>46298</v>
      </c>
      <c r="E17" s="20" t="str">
        <f aca="false">IFERROR(INDEX('ALL CANDIDATES'!$Q$2:$Q$63,MATCH($B17,'ALL CANDIDATES'!$C$2:$C$63,0)),"")</f>
        <v>Full history loaded - first post</v>
      </c>
      <c r="F17" s="2"/>
      <c r="G17" s="8" t="n">
        <f aca="false">IFERROR(INDEX('ALL CANDIDATES'!$AI$2:$AI$63,MATCH($B17,'ALL CANDIDATES'!$C$2:$C$63,0)),"")</f>
        <v>46298</v>
      </c>
      <c r="H17" s="4" t="n">
        <f aca="false">IFERROR(INDEX('ALL CANDIDATES'!$AG$2:$AG$63,MATCH($B17,'ALL CANDIDATES'!$C$2:$C$63,0)),"")</f>
        <v>61373</v>
      </c>
      <c r="I17" s="6" t="str">
        <f aca="false">IFERROR(INDEX('ALL CANDIDATES'!$AH$2:$AH$63,MATCH($B17,'ALL CANDIDATES'!$C$2:$C$63,0)),"")</f>
        <v>https://www.instagram.com/p/DeCKb4JIGeG/</v>
      </c>
      <c r="J17" s="2" t="n">
        <f aca="false">IF(OR(D17="",G17=""),"",G17-D17)</f>
        <v>0</v>
      </c>
      <c r="K17" s="8" t="n">
        <f aca="false">IFERROR(INDEX('ALL CANDIDATES'!$R$2:$R$63,MATCH($B17,'ALL CANDIDATES'!$C$2:$C$63,0)),"")</f>
        <v>46303</v>
      </c>
      <c r="L17" s="2" t="n">
        <f aca="false">IF(OR(D17="",K17=""),"",K17-D17)</f>
        <v>5</v>
      </c>
      <c r="M17" s="9" t="s">
        <v>1137</v>
      </c>
      <c r="N17" s="9" t="s">
        <v>1138</v>
      </c>
      <c r="O17" s="9" t="s">
        <v>1125</v>
      </c>
      <c r="P17" s="2" t="s">
        <v>1139</v>
      </c>
    </row>
    <row r="18" customFormat="false" ht="15" hidden="false" customHeight="false" outlineLevel="0" collapsed="false">
      <c r="A18" s="2" t="s">
        <v>489</v>
      </c>
      <c r="B18" s="2" t="s">
        <v>490</v>
      </c>
      <c r="C18" s="2" t="s">
        <v>275</v>
      </c>
      <c r="D18" s="8" t="n">
        <f aca="false">IFERROR(INDEX('ALL CANDIDATES'!$P$2:$P$63,MATCH($B18,'ALL CANDIDATES'!$C$2:$C$63,0)),"")</f>
        <v>46293</v>
      </c>
      <c r="E18" s="20" t="str">
        <f aca="false">IFERROR(INDEX('ALL CANDIDATES'!$Q$2:$Q$63,MATCH($B18,'ALL CANDIDATES'!$C$2:$C$63,0)),"")</f>
        <v>Oldest of 12 sampled posts</v>
      </c>
      <c r="F18" s="2"/>
      <c r="G18" s="8" t="n">
        <f aca="false">IFERROR(INDEX('ALL CANDIDATES'!$AI$2:$AI$63,MATCH($B18,'ALL CANDIDATES'!$C$2:$C$63,0)),"")</f>
        <v>46295</v>
      </c>
      <c r="H18" s="4" t="n">
        <f aca="false">IFERROR(INDEX('ALL CANDIDATES'!$AG$2:$AG$63,MATCH($B18,'ALL CANDIDATES'!$C$2:$C$63,0)),"")</f>
        <v>161812</v>
      </c>
      <c r="I18" s="6" t="str">
        <f aca="false">IFERROR(INDEX('ALL CANDIDATES'!$AH$2:$AH$63,MATCH($B18,'ALL CANDIDATES'!$C$2:$C$63,0)),"")</f>
        <v>https://www.instagram.com/p/Dd62X7dJbCD/</v>
      </c>
      <c r="J18" s="2" t="n">
        <f aca="false">IF(OR(D18="",G18=""),"",G18-D18)</f>
        <v>2</v>
      </c>
      <c r="K18" s="8" t="n">
        <f aca="false">IFERROR(INDEX('ALL CANDIDATES'!$R$2:$R$63,MATCH($B18,'ALL CANDIDATES'!$C$2:$C$63,0)),"")</f>
        <v>46303</v>
      </c>
      <c r="L18" s="2" t="n">
        <f aca="false">IF(OR(D18="",K18=""),"",K18-D18)</f>
        <v>10</v>
      </c>
      <c r="M18" s="9"/>
      <c r="N18" s="9"/>
      <c r="O18" s="9"/>
      <c r="P18" s="2"/>
    </row>
    <row r="19" customFormat="false" ht="15" hidden="false" customHeight="false" outlineLevel="0" collapsed="false">
      <c r="A19" s="2" t="s">
        <v>503</v>
      </c>
      <c r="B19" s="2" t="s">
        <v>504</v>
      </c>
      <c r="C19" s="2" t="s">
        <v>275</v>
      </c>
      <c r="D19" s="8" t="n">
        <f aca="false">IFERROR(INDEX('ALL CANDIDATES'!$P$2:$P$63,MATCH($B19,'ALL CANDIDATES'!$C$2:$C$63,0)),"")</f>
        <v>46294</v>
      </c>
      <c r="E19" s="20" t="str">
        <f aca="false">IFERROR(INDEX('ALL CANDIDATES'!$Q$2:$Q$63,MATCH($B19,'ALL CANDIDATES'!$C$2:$C$63,0)),"")</f>
        <v>Full history loaded - first post</v>
      </c>
      <c r="F19" s="2"/>
      <c r="G19" s="8" t="n">
        <f aca="false">IFERROR(INDEX('ALL CANDIDATES'!$AI$2:$AI$63,MATCH($B19,'ALL CANDIDATES'!$C$2:$C$63,0)),"")</f>
        <v>46296</v>
      </c>
      <c r="H19" s="4" t="n">
        <f aca="false">IFERROR(INDEX('ALL CANDIDATES'!$AG$2:$AG$63,MATCH($B19,'ALL CANDIDATES'!$C$2:$C$63,0)),"")</f>
        <v>697221</v>
      </c>
      <c r="I19" s="6" t="str">
        <f aca="false">IFERROR(INDEX('ALL CANDIDATES'!$AH$2:$AH$63,MATCH($B19,'ALL CANDIDATES'!$C$2:$C$63,0)),"")</f>
        <v>https://www.instagram.com/p/Dd9RXFtIbr1/</v>
      </c>
      <c r="J19" s="2" t="n">
        <f aca="false">IF(OR(D19="",G19=""),"",G19-D19)</f>
        <v>2</v>
      </c>
      <c r="K19" s="8" t="n">
        <f aca="false">IFERROR(INDEX('ALL CANDIDATES'!$R$2:$R$63,MATCH($B19,'ALL CANDIDATES'!$C$2:$C$63,0)),"")</f>
        <v>46303</v>
      </c>
      <c r="L19" s="2" t="n">
        <f aca="false">IF(OR(D19="",K19=""),"",K19-D19)</f>
        <v>9</v>
      </c>
      <c r="M19" s="9"/>
      <c r="N19" s="9"/>
      <c r="O19" s="9"/>
      <c r="P19" s="2"/>
    </row>
    <row r="20" customFormat="false" ht="15" hidden="false" customHeight="false" outlineLevel="0" collapsed="false">
      <c r="A20" s="2" t="s">
        <v>517</v>
      </c>
      <c r="B20" s="2" t="s">
        <v>518</v>
      </c>
      <c r="C20" s="2" t="s">
        <v>275</v>
      </c>
      <c r="D20" s="8" t="n">
        <f aca="false">IFERROR(INDEX('ALL CANDIDATES'!$P$2:$P$63,MATCH($B20,'ALL CANDIDATES'!$C$2:$C$63,0)),"")</f>
        <v>46288</v>
      </c>
      <c r="E20" s="20" t="str">
        <f aca="false">IFERROR(INDEX('ALL CANDIDATES'!$Q$2:$Q$63,MATCH($B20,'ALL CANDIDATES'!$C$2:$C$63,0)),"")</f>
        <v>Oldest of 32 sampled posts</v>
      </c>
      <c r="F20" s="2"/>
      <c r="G20" s="8" t="n">
        <f aca="false">IFERROR(INDEX('ALL CANDIDATES'!$AI$2:$AI$63,MATCH($B20,'ALL CANDIDATES'!$C$2:$C$63,0)),"")</f>
        <v>46293</v>
      </c>
      <c r="H20" s="4" t="n">
        <f aca="false">IFERROR(INDEX('ALL CANDIDATES'!$AG$2:$AG$63,MATCH($B20,'ALL CANDIDATES'!$C$2:$C$63,0)),"")</f>
        <v>40302</v>
      </c>
      <c r="I20" s="6" t="str">
        <f aca="false">IFERROR(INDEX('ALL CANDIDATES'!$AH$2:$AH$63,MATCH($B20,'ALL CANDIDATES'!$C$2:$C$63,0)),"")</f>
        <v>https://www.instagram.com/p/Dd2EhVtx54d/</v>
      </c>
      <c r="J20" s="2" t="n">
        <f aca="false">IF(OR(D20="",G20=""),"",G20-D20)</f>
        <v>5</v>
      </c>
      <c r="K20" s="8" t="n">
        <f aca="false">IFERROR(INDEX('ALL CANDIDATES'!$R$2:$R$63,MATCH($B20,'ALL CANDIDATES'!$C$2:$C$63,0)),"")</f>
        <v>46304</v>
      </c>
      <c r="L20" s="2" t="n">
        <f aca="false">IF(OR(D20="",K20=""),"",K20-D20)</f>
        <v>16</v>
      </c>
      <c r="M20" s="9"/>
      <c r="N20" s="9"/>
      <c r="O20" s="9"/>
      <c r="P20" s="2"/>
    </row>
    <row r="21" customFormat="false" ht="15" hidden="false" customHeight="false" outlineLevel="0" collapsed="false">
      <c r="A21" s="2" t="s">
        <v>532</v>
      </c>
      <c r="B21" s="2" t="s">
        <v>533</v>
      </c>
      <c r="C21" s="2" t="s">
        <v>275</v>
      </c>
      <c r="D21" s="8" t="n">
        <f aca="false">IFERROR(INDEX('ALL CANDIDATES'!$P$2:$P$63,MATCH($B21,'ALL CANDIDATES'!$C$2:$C$63,0)),"")</f>
        <v>46294</v>
      </c>
      <c r="E21" s="20" t="str">
        <f aca="false">IFERROR(INDEX('ALL CANDIDATES'!$Q$2:$Q$63,MATCH($B21,'ALL CANDIDATES'!$C$2:$C$63,0)),"")</f>
        <v>Oldest of 12 sampled posts</v>
      </c>
      <c r="F21" s="2"/>
      <c r="G21" s="8" t="n">
        <f aca="false">IFERROR(INDEX('ALL CANDIDATES'!$AI$2:$AI$63,MATCH($B21,'ALL CANDIDATES'!$C$2:$C$63,0)),"")</f>
        <v>46296</v>
      </c>
      <c r="H21" s="4" t="n">
        <f aca="false">IFERROR(INDEX('ALL CANDIDATES'!$AG$2:$AG$63,MATCH($B21,'ALL CANDIDATES'!$C$2:$C$63,0)),"")</f>
        <v>89487</v>
      </c>
      <c r="I21" s="6" t="str">
        <f aca="false">IFERROR(INDEX('ALL CANDIDATES'!$AH$2:$AH$63,MATCH($B21,'ALL CANDIDATES'!$C$2:$C$63,0)),"")</f>
        <v>https://www.instagram.com/p/Dd8LM0NscoW/</v>
      </c>
      <c r="J21" s="2" t="n">
        <f aca="false">IF(OR(D21="",G21=""),"",G21-D21)</f>
        <v>2</v>
      </c>
      <c r="K21" s="8" t="n">
        <f aca="false">IFERROR(INDEX('ALL CANDIDATES'!$R$2:$R$63,MATCH($B21,'ALL CANDIDATES'!$C$2:$C$63,0)),"")</f>
        <v>46303</v>
      </c>
      <c r="L21" s="2" t="n">
        <f aca="false">IF(OR(D21="",K21=""),"",K21-D21)</f>
        <v>9</v>
      </c>
      <c r="M21" s="9"/>
      <c r="N21" s="9"/>
      <c r="O21" s="9"/>
      <c r="P21" s="2"/>
    </row>
    <row r="22" customFormat="false" ht="15" hidden="false" customHeight="false" outlineLevel="0" collapsed="false">
      <c r="A22" s="2" t="s">
        <v>544</v>
      </c>
      <c r="B22" s="2" t="s">
        <v>545</v>
      </c>
      <c r="C22" s="2" t="s">
        <v>275</v>
      </c>
      <c r="D22" s="8" t="n">
        <f aca="false">IFERROR(INDEX('ALL CANDIDATES'!$P$2:$P$63,MATCH($B22,'ALL CANDIDATES'!$C$2:$C$63,0)),"")</f>
        <v>46295</v>
      </c>
      <c r="E22" s="20" t="str">
        <f aca="false">IFERROR(INDEX('ALL CANDIDATES'!$Q$2:$Q$63,MATCH($B22,'ALL CANDIDATES'!$C$2:$C$63,0)),"")</f>
        <v>Full history loaded - first post</v>
      </c>
      <c r="F22" s="2"/>
      <c r="G22" s="8" t="n">
        <f aca="false">IFERROR(INDEX('ALL CANDIDATES'!$AI$2:$AI$63,MATCH($B22,'ALL CANDIDATES'!$C$2:$C$63,0)),"")</f>
        <v>46295</v>
      </c>
      <c r="H22" s="4" t="n">
        <f aca="false">IFERROR(INDEX('ALL CANDIDATES'!$AG$2:$AG$63,MATCH($B22,'ALL CANDIDATES'!$C$2:$C$63,0)),"")</f>
        <v>194063</v>
      </c>
      <c r="I22" s="6" t="str">
        <f aca="false">IFERROR(INDEX('ALL CANDIDATES'!$AH$2:$AH$63,MATCH($B22,'ALL CANDIDATES'!$C$2:$C$63,0)),"")</f>
        <v>https://www.instagram.com/p/Dd5VDDURAPn/</v>
      </c>
      <c r="J22" s="2" t="n">
        <f aca="false">IF(OR(D22="",G22=""),"",G22-D22)</f>
        <v>0</v>
      </c>
      <c r="K22" s="8" t="n">
        <f aca="false">IFERROR(INDEX('ALL CANDIDATES'!$R$2:$R$63,MATCH($B22,'ALL CANDIDATES'!$C$2:$C$63,0)),"")</f>
        <v>46304</v>
      </c>
      <c r="L22" s="2" t="n">
        <f aca="false">IF(OR(D22="",K22=""),"",K22-D22)</f>
        <v>9</v>
      </c>
      <c r="M22" s="9"/>
      <c r="N22" s="9"/>
      <c r="O22" s="9"/>
      <c r="P22" s="2"/>
    </row>
    <row r="23" customFormat="false" ht="15" hidden="false" customHeight="false" outlineLevel="0" collapsed="false">
      <c r="A23" s="2" t="s">
        <v>555</v>
      </c>
      <c r="B23" s="2" t="s">
        <v>556</v>
      </c>
      <c r="C23" s="2" t="s">
        <v>275</v>
      </c>
      <c r="D23" s="8" t="n">
        <f aca="false">IFERROR(INDEX('ALL CANDIDATES'!$P$2:$P$63,MATCH($B23,'ALL CANDIDATES'!$C$2:$C$63,0)),"")</f>
        <v>46298</v>
      </c>
      <c r="E23" s="20" t="str">
        <f aca="false">IFERROR(INDEX('ALL CANDIDATES'!$Q$2:$Q$63,MATCH($B23,'ALL CANDIDATES'!$C$2:$C$63,0)),"")</f>
        <v>Oldest of 22 sampled posts</v>
      </c>
      <c r="F23" s="2"/>
      <c r="G23" s="8" t="n">
        <f aca="false">IFERROR(INDEX('ALL CANDIDATES'!$AI$2:$AI$63,MATCH($B23,'ALL CANDIDATES'!$C$2:$C$63,0)),"")</f>
        <v>46296</v>
      </c>
      <c r="H23" s="4" t="n">
        <f aca="false">IFERROR(INDEX('ALL CANDIDATES'!$AG$2:$AG$63,MATCH($B23,'ALL CANDIDATES'!$C$2:$C$63,0)),"")</f>
        <v>74041</v>
      </c>
      <c r="I23" s="6" t="str">
        <f aca="false">IFERROR(INDEX('ALL CANDIDATES'!$AH$2:$AH$63,MATCH($B23,'ALL CANDIDATES'!$C$2:$C$63,0)),"")</f>
        <v>https://www.instagram.com/p/Dd9pUvWDT_0/</v>
      </c>
      <c r="J23" s="2" t="n">
        <f aca="false">IF(OR(D23="",G23=""),"",G23-D23)</f>
        <v>-2</v>
      </c>
      <c r="K23" s="8" t="n">
        <f aca="false">IFERROR(INDEX('ALL CANDIDATES'!$R$2:$R$63,MATCH($B23,'ALL CANDIDATES'!$C$2:$C$63,0)),"")</f>
        <v>46303</v>
      </c>
      <c r="L23" s="2" t="n">
        <f aca="false">IF(OR(D23="",K23=""),"",K23-D23)</f>
        <v>5</v>
      </c>
      <c r="M23" s="9"/>
      <c r="N23" s="9"/>
      <c r="O23" s="9"/>
      <c r="P23" s="2"/>
    </row>
    <row r="24" customFormat="false" ht="15" hidden="false" customHeight="false" outlineLevel="0" collapsed="false">
      <c r="A24" s="2" t="s">
        <v>568</v>
      </c>
      <c r="B24" s="2" t="s">
        <v>569</v>
      </c>
      <c r="C24" s="2" t="s">
        <v>275</v>
      </c>
      <c r="D24" s="8" t="n">
        <f aca="false">IFERROR(INDEX('ALL CANDIDATES'!$P$2:$P$63,MATCH($B24,'ALL CANDIDATES'!$C$2:$C$63,0)),"")</f>
        <v>46296</v>
      </c>
      <c r="E24" s="20" t="str">
        <f aca="false">IFERROR(INDEX('ALL CANDIDATES'!$Q$2:$Q$63,MATCH($B24,'ALL CANDIDATES'!$C$2:$C$63,0)),"")</f>
        <v>Oldest of 12 sampled posts</v>
      </c>
      <c r="F24" s="2"/>
      <c r="G24" s="8" t="n">
        <f aca="false">IFERROR(INDEX('ALL CANDIDATES'!$AI$2:$AI$63,MATCH($B24,'ALL CANDIDATES'!$C$2:$C$63,0)),"")</f>
        <v>46299</v>
      </c>
      <c r="H24" s="4" t="n">
        <f aca="false">IFERROR(INDEX('ALL CANDIDATES'!$AG$2:$AG$63,MATCH($B24,'ALL CANDIDATES'!$C$2:$C$63,0)),"")</f>
        <v>81230</v>
      </c>
      <c r="I24" s="6" t="str">
        <f aca="false">IFERROR(INDEX('ALL CANDIDATES'!$AH$2:$AH$63,MATCH($B24,'ALL CANDIDATES'!$C$2:$C$63,0)),"")</f>
        <v>https://www.instagram.com/p/DeAQrgpT11j/</v>
      </c>
      <c r="J24" s="2" t="n">
        <f aca="false">IF(OR(D24="",G24=""),"",G24-D24)</f>
        <v>3</v>
      </c>
      <c r="K24" s="8" t="n">
        <f aca="false">IFERROR(INDEX('ALL CANDIDATES'!$R$2:$R$63,MATCH($B24,'ALL CANDIDATES'!$C$2:$C$63,0)),"")</f>
        <v>46304</v>
      </c>
      <c r="L24" s="2" t="n">
        <f aca="false">IF(OR(D24="",K24=""),"",K24-D24)</f>
        <v>8</v>
      </c>
      <c r="M24" s="9"/>
      <c r="N24" s="9"/>
      <c r="O24" s="9"/>
      <c r="P24" s="2"/>
    </row>
    <row r="25" customFormat="false" ht="15" hidden="false" customHeight="false" outlineLevel="0" collapsed="false">
      <c r="A25" s="2" t="s">
        <v>581</v>
      </c>
      <c r="B25" s="2" t="s">
        <v>582</v>
      </c>
      <c r="C25" s="2" t="s">
        <v>275</v>
      </c>
      <c r="D25" s="8" t="n">
        <f aca="false">IFERROR(INDEX('ALL CANDIDATES'!$P$2:$P$63,MATCH($B25,'ALL CANDIDATES'!$C$2:$C$63,0)),"")</f>
        <v>46288</v>
      </c>
      <c r="E25" s="20" t="str">
        <f aca="false">IFERROR(INDEX('ALL CANDIDATES'!$Q$2:$Q$63,MATCH($B25,'ALL CANDIDATES'!$C$2:$C$63,0)),"")</f>
        <v>Oldest of 22 sampled posts</v>
      </c>
      <c r="F25" s="2"/>
      <c r="G25" s="8" t="n">
        <f aca="false">IFERROR(INDEX('ALL CANDIDATES'!$AI$2:$AI$63,MATCH($B25,'ALL CANDIDATES'!$C$2:$C$63,0)),"")</f>
        <v>46297</v>
      </c>
      <c r="H25" s="4" t="n">
        <f aca="false">IFERROR(INDEX('ALL CANDIDATES'!$AG$2:$AG$63,MATCH($B25,'ALL CANDIDATES'!$C$2:$C$63,0)),"")</f>
        <v>118332</v>
      </c>
      <c r="I25" s="6" t="str">
        <f aca="false">IFERROR(INDEX('ALL CANDIDATES'!$AH$2:$AH$63,MATCH($B25,'ALL CANDIDATES'!$C$2:$C$63,0)),"")</f>
        <v>https://www.instagram.com/p/Dd-2uFShyCV/</v>
      </c>
      <c r="J25" s="2" t="n">
        <f aca="false">IF(OR(D25="",G25=""),"",G25-D25)</f>
        <v>9</v>
      </c>
      <c r="K25" s="8" t="n">
        <f aca="false">IFERROR(INDEX('ALL CANDIDATES'!$R$2:$R$63,MATCH($B25,'ALL CANDIDATES'!$C$2:$C$63,0)),"")</f>
        <v>46304</v>
      </c>
      <c r="L25" s="2" t="n">
        <f aca="false">IF(OR(D25="",K25=""),"",K25-D25)</f>
        <v>16</v>
      </c>
      <c r="M25" s="9"/>
      <c r="N25" s="9"/>
      <c r="O25" s="9"/>
      <c r="P25" s="2"/>
    </row>
    <row r="26" customFormat="false" ht="15" hidden="false" customHeight="false" outlineLevel="0" collapsed="false">
      <c r="A26" s="2" t="s">
        <v>593</v>
      </c>
      <c r="B26" s="2" t="s">
        <v>594</v>
      </c>
      <c r="C26" s="2" t="s">
        <v>275</v>
      </c>
      <c r="D26" s="8" t="n">
        <f aca="false">IFERROR(INDEX('ALL CANDIDATES'!$P$2:$P$63,MATCH($B26,'ALL CANDIDATES'!$C$2:$C$63,0)),"")</f>
        <v>46282</v>
      </c>
      <c r="E26" s="20" t="str">
        <f aca="false">IFERROR(INDEX('ALL CANDIDATES'!$Q$2:$Q$63,MATCH($B26,'ALL CANDIDATES'!$C$2:$C$63,0)),"")</f>
        <v>Oldest of 22 sampled posts</v>
      </c>
      <c r="F26" s="2"/>
      <c r="G26" s="8" t="n">
        <f aca="false">IFERROR(INDEX('ALL CANDIDATES'!$AI$2:$AI$63,MATCH($B26,'ALL CANDIDATES'!$C$2:$C$63,0)),"")</f>
        <v>46289</v>
      </c>
      <c r="H26" s="4" t="n">
        <f aca="false">IFERROR(INDEX('ALL CANDIDATES'!$AG$2:$AG$63,MATCH($B26,'ALL CANDIDATES'!$C$2:$C$63,0)),"")</f>
        <v>502072</v>
      </c>
      <c r="I26" s="6" t="str">
        <f aca="false">IFERROR(INDEX('ALL CANDIDATES'!$AH$2:$AH$63,MATCH($B26,'ALL CANDIDATES'!$C$2:$C$63,0)),"")</f>
        <v>https://www.instagram.com/p/DdW8lunNb70/</v>
      </c>
      <c r="J26" s="2" t="n">
        <f aca="false">IF(OR(D26="",G26=""),"",G26-D26)</f>
        <v>7</v>
      </c>
      <c r="K26" s="8" t="n">
        <f aca="false">IFERROR(INDEX('ALL CANDIDATES'!$R$2:$R$63,MATCH($B26,'ALL CANDIDATES'!$C$2:$C$63,0)),"")</f>
        <v>46303</v>
      </c>
      <c r="L26" s="2" t="n">
        <f aca="false">IF(OR(D26="",K26=""),"",K26-D26)</f>
        <v>21</v>
      </c>
      <c r="M26" s="9" t="s">
        <v>1140</v>
      </c>
      <c r="N26" s="9" t="s">
        <v>1141</v>
      </c>
      <c r="O26" s="9" t="s">
        <v>1125</v>
      </c>
      <c r="P26" s="2" t="s">
        <v>1142</v>
      </c>
    </row>
    <row r="27" customFormat="false" ht="15" hidden="false" customHeight="false" outlineLevel="0" collapsed="false">
      <c r="A27" s="2" t="s">
        <v>610</v>
      </c>
      <c r="B27" s="2" t="s">
        <v>611</v>
      </c>
      <c r="C27" s="2" t="s">
        <v>275</v>
      </c>
      <c r="D27" s="8" t="n">
        <f aca="false">IFERROR(INDEX('ALL CANDIDATES'!$P$2:$P$63,MATCH($B27,'ALL CANDIDATES'!$C$2:$C$63,0)),"")</f>
        <v>46265</v>
      </c>
      <c r="E27" s="20" t="str">
        <f aca="false">IFERROR(INDEX('ALL CANDIDATES'!$Q$2:$Q$63,MATCH($B27,'ALL CANDIDATES'!$C$2:$C$63,0)),"")</f>
        <v>Full history loaded - first post</v>
      </c>
      <c r="F27" s="2"/>
      <c r="G27" s="8" t="n">
        <f aca="false">IFERROR(INDEX('ALL CANDIDATES'!$AI$2:$AI$63,MATCH($B27,'ALL CANDIDATES'!$C$2:$C$63,0)),"")</f>
        <v>46277</v>
      </c>
      <c r="H27" s="4" t="n">
        <f aca="false">IFERROR(INDEX('ALL CANDIDATES'!$AG$2:$AG$63,MATCH($B27,'ALL CANDIDATES'!$C$2:$C$63,0)),"")</f>
        <v>647717</v>
      </c>
      <c r="I27" s="6" t="str">
        <f aca="false">IFERROR(INDEX('ALL CANDIDATES'!$AH$2:$AH$63,MATCH($B27,'ALL CANDIDATES'!$C$2:$C$63,0)),"")</f>
        <v>https://www.instagram.com/p/DdH9RnPNA_3/</v>
      </c>
      <c r="J27" s="2" t="n">
        <f aca="false">IF(OR(D27="",G27=""),"",G27-D27)</f>
        <v>12</v>
      </c>
      <c r="K27" s="8" t="n">
        <f aca="false">IFERROR(INDEX('ALL CANDIDATES'!$R$2:$R$63,MATCH($B27,'ALL CANDIDATES'!$C$2:$C$63,0)),"")</f>
        <v>46303</v>
      </c>
      <c r="L27" s="2" t="n">
        <f aca="false">IF(OR(D27="",K27=""),"",K27-D27)</f>
        <v>38</v>
      </c>
      <c r="M27" s="9"/>
      <c r="N27" s="9"/>
      <c r="O27" s="9"/>
      <c r="P27" s="2"/>
    </row>
    <row r="28" customFormat="false" ht="15" hidden="false" customHeight="false" outlineLevel="0" collapsed="false">
      <c r="A28" s="2" t="s">
        <v>624</v>
      </c>
      <c r="B28" s="2" t="s">
        <v>625</v>
      </c>
      <c r="C28" s="2" t="s">
        <v>275</v>
      </c>
      <c r="D28" s="8" t="n">
        <f aca="false">IFERROR(INDEX('ALL CANDIDATES'!$P$2:$P$63,MATCH($B28,'ALL CANDIDATES'!$C$2:$C$63,0)),"")</f>
        <v>46295</v>
      </c>
      <c r="E28" s="20" t="str">
        <f aca="false">IFERROR(INDEX('ALL CANDIDATES'!$Q$2:$Q$63,MATCH($B28,'ALL CANDIDATES'!$C$2:$C$63,0)),"")</f>
        <v>Oldest of 12 sampled posts</v>
      </c>
      <c r="F28" s="2"/>
      <c r="G28" s="8" t="n">
        <f aca="false">IFERROR(INDEX('ALL CANDIDATES'!$AI$2:$AI$63,MATCH($B28,'ALL CANDIDATES'!$C$2:$C$63,0)),"")</f>
        <v>46295</v>
      </c>
      <c r="H28" s="4" t="n">
        <f aca="false">IFERROR(INDEX('ALL CANDIDATES'!$AG$2:$AG$63,MATCH($B28,'ALL CANDIDATES'!$C$2:$C$63,0)),"")</f>
        <v>52198</v>
      </c>
      <c r="I28" s="6" t="str">
        <f aca="false">IFERROR(INDEX('ALL CANDIDATES'!$AH$2:$AH$63,MATCH($B28,'ALL CANDIDATES'!$C$2:$C$63,0)),"")</f>
        <v>https://www.instagram.com/p/Dd6Anomgs5t/</v>
      </c>
      <c r="J28" s="2" t="n">
        <f aca="false">IF(OR(D28="",G28=""),"",G28-D28)</f>
        <v>0</v>
      </c>
      <c r="K28" s="8" t="n">
        <f aca="false">IFERROR(INDEX('ALL CANDIDATES'!$R$2:$R$63,MATCH($B28,'ALL CANDIDATES'!$C$2:$C$63,0)),"")</f>
        <v>46303</v>
      </c>
      <c r="L28" s="2" t="n">
        <f aca="false">IF(OR(D28="",K28=""),"",K28-D28)</f>
        <v>8</v>
      </c>
      <c r="M28" s="9"/>
      <c r="N28" s="9"/>
      <c r="O28" s="9"/>
      <c r="P28" s="2"/>
    </row>
    <row r="29" customFormat="false" ht="35.05" hidden="false" customHeight="false" outlineLevel="0" collapsed="false">
      <c r="A29" s="2" t="s">
        <v>637</v>
      </c>
      <c r="B29" s="2" t="s">
        <v>638</v>
      </c>
      <c r="C29" s="2" t="s">
        <v>275</v>
      </c>
      <c r="D29" s="8" t="n">
        <f aca="false">IFERROR(INDEX('ALL CANDIDATES'!$P$2:$P$63,MATCH($B29,'ALL CANDIDATES'!$C$2:$C$63,0)),"")</f>
        <v>46125</v>
      </c>
      <c r="E29" s="20" t="str">
        <f aca="false">IFERROR(INDEX('ALL CANDIDATES'!$Q$2:$Q$63,MATCH($B29,'ALL CANDIDATES'!$C$2:$C$63,0)),"")</f>
        <v>Oldest of 22 sampled posts (account is far older - not verifiable from sample)</v>
      </c>
      <c r="F29" s="2"/>
      <c r="G29" s="8" t="n">
        <f aca="false">IFERROR(INDEX('ALL CANDIDATES'!$AI$2:$AI$63,MATCH($B29,'ALL CANDIDATES'!$C$2:$C$63,0)),"")</f>
        <v>46125</v>
      </c>
      <c r="H29" s="4" t="n">
        <f aca="false">IFERROR(INDEX('ALL CANDIDATES'!$AG$2:$AG$63,MATCH($B29,'ALL CANDIDATES'!$C$2:$C$63,0)),"")</f>
        <v>3799</v>
      </c>
      <c r="I29" s="6" t="str">
        <f aca="false">IFERROR(INDEX('ALL CANDIDATES'!$AH$2:$AH$63,MATCH($B29,'ALL CANDIDATES'!$C$2:$C$63,0)),"")</f>
        <v>https://www.instagram.com/p/DXE1ordFGu-/</v>
      </c>
      <c r="J29" s="2" t="n">
        <f aca="false">IF(OR(D29="",G29=""),"",G29-D29)</f>
        <v>0</v>
      </c>
      <c r="K29" s="8" t="n">
        <f aca="false">IFERROR(INDEX('ALL CANDIDATES'!$R$2:$R$63,MATCH($B29,'ALL CANDIDATES'!$C$2:$C$63,0)),"")</f>
        <v>46301</v>
      </c>
      <c r="L29" s="2" t="n">
        <f aca="false">IF(OR(D29="",K29=""),"",K29-D29)</f>
        <v>176</v>
      </c>
      <c r="M29" s="9" t="s">
        <v>1143</v>
      </c>
      <c r="N29" s="9" t="s">
        <v>1144</v>
      </c>
      <c r="O29" s="9" t="s">
        <v>1125</v>
      </c>
      <c r="P29" s="2" t="s">
        <v>1145</v>
      </c>
    </row>
    <row r="30" customFormat="false" ht="15" hidden="false" customHeight="false" outlineLevel="0" collapsed="false">
      <c r="A30" s="2" t="s">
        <v>654</v>
      </c>
      <c r="B30" s="2" t="s">
        <v>655</v>
      </c>
      <c r="C30" s="2" t="s">
        <v>275</v>
      </c>
      <c r="D30" s="8" t="n">
        <f aca="false">IFERROR(INDEX('ALL CANDIDATES'!$P$2:$P$63,MATCH($B30,'ALL CANDIDATES'!$C$2:$C$63,0)),"")</f>
        <v>45849</v>
      </c>
      <c r="E30" s="20" t="str">
        <f aca="false">IFERROR(INDEX('ALL CANDIDATES'!$Q$2:$Q$63,MATCH($B30,'ALL CANDIDATES'!$C$2:$C$63,0)),"")</f>
        <v>Pinned post date (oldest in sample)</v>
      </c>
      <c r="F30" s="2"/>
      <c r="G30" s="8" t="n">
        <f aca="false">IFERROR(INDEX('ALL CANDIDATES'!$AI$2:$AI$63,MATCH($B30,'ALL CANDIDATES'!$C$2:$C$63,0)),"")</f>
        <v>45849</v>
      </c>
      <c r="H30" s="4" t="n">
        <f aca="false">IFERROR(INDEX('ALL CANDIDATES'!$AG$2:$AG$63,MATCH($B30,'ALL CANDIDATES'!$C$2:$C$63,0)),"")</f>
        <v>1027957</v>
      </c>
      <c r="I30" s="6" t="str">
        <f aca="false">IFERROR(INDEX('ALL CANDIDATES'!$AH$2:$AH$63,MATCH($B30,'ALL CANDIDATES'!$C$2:$C$63,0)),"")</f>
        <v>https://www.instagram.com/p/DL8o9HPtwf0/</v>
      </c>
      <c r="J30" s="2" t="n">
        <f aca="false">IF(OR(D30="",G30=""),"",G30-D30)</f>
        <v>0</v>
      </c>
      <c r="K30" s="8" t="n">
        <f aca="false">IFERROR(INDEX('ALL CANDIDATES'!$R$2:$R$63,MATCH($B30,'ALL CANDIDATES'!$C$2:$C$63,0)),"")</f>
        <v>46303</v>
      </c>
      <c r="L30" s="2" t="n">
        <f aca="false">IF(OR(D30="",K30=""),"",K30-D30)</f>
        <v>454</v>
      </c>
      <c r="M30" s="9" t="s">
        <v>1146</v>
      </c>
      <c r="N30" s="9" t="s">
        <v>1147</v>
      </c>
      <c r="O30" s="9" t="s">
        <v>1125</v>
      </c>
      <c r="P30" s="2" t="s">
        <v>1148</v>
      </c>
    </row>
    <row r="31" customFormat="false" ht="15" hidden="false" customHeight="false" outlineLevel="0" collapsed="false">
      <c r="A31" s="2" t="s">
        <v>668</v>
      </c>
      <c r="B31" s="2" t="s">
        <v>669</v>
      </c>
      <c r="C31" s="2" t="s">
        <v>275</v>
      </c>
      <c r="D31" s="8" t="n">
        <f aca="false">IFERROR(INDEX('ALL CANDIDATES'!$P$2:$P$63,MATCH($B31,'ALL CANDIDATES'!$C$2:$C$63,0)),"")</f>
        <v>45991</v>
      </c>
      <c r="E31" s="20" t="str">
        <f aca="false">IFERROR(INDEX('ALL CANDIDATES'!$Q$2:$Q$63,MATCH($B31,'ALL CANDIDATES'!$C$2:$C$63,0)),"")</f>
        <v>Oldest of 12 sampled posts</v>
      </c>
      <c r="F31" s="2"/>
      <c r="G31" s="8" t="n">
        <f aca="false">IFERROR(INDEX('ALL CANDIDATES'!$AI$2:$AI$63,MATCH($B31,'ALL CANDIDATES'!$C$2:$C$63,0)),"")</f>
        <v>46033</v>
      </c>
      <c r="H31" s="4" t="n">
        <f aca="false">IFERROR(INDEX('ALL CANDIDATES'!$AG$2:$AG$63,MATCH($B31,'ALL CANDIDATES'!$C$2:$C$63,0)),"")</f>
        <v>14391</v>
      </c>
      <c r="I31" s="6" t="str">
        <f aca="false">IFERROR(INDEX('ALL CANDIDATES'!$AH$2:$AH$63,MATCH($B31,'ALL CANDIDATES'!$C$2:$C$63,0)),"")</f>
        <v>https://www.instagram.com/p/DTYiD4qEtdU/</v>
      </c>
      <c r="J31" s="2" t="n">
        <f aca="false">IF(OR(D31="",G31=""),"",G31-D31)</f>
        <v>42</v>
      </c>
      <c r="K31" s="8" t="n">
        <f aca="false">IFERROR(INDEX('ALL CANDIDATES'!$R$2:$R$63,MATCH($B31,'ALL CANDIDATES'!$C$2:$C$63,0)),"")</f>
        <v>46301</v>
      </c>
      <c r="L31" s="2" t="n">
        <f aca="false">IF(OR(D31="",K31=""),"",K31-D31)</f>
        <v>310</v>
      </c>
      <c r="M31" s="9"/>
      <c r="N31" s="9"/>
      <c r="O31" s="9"/>
      <c r="P31" s="2"/>
    </row>
    <row r="32" customFormat="false" ht="15" hidden="false" customHeight="false" outlineLevel="0" collapsed="false">
      <c r="A32" s="2" t="s">
        <v>681</v>
      </c>
      <c r="B32" s="2" t="s">
        <v>682</v>
      </c>
      <c r="C32" s="2" t="s">
        <v>275</v>
      </c>
      <c r="D32" s="8" t="n">
        <f aca="false">IFERROR(INDEX('ALL CANDIDATES'!$P$2:$P$63,MATCH($B32,'ALL CANDIDATES'!$C$2:$C$63,0)),"")</f>
        <v>46213</v>
      </c>
      <c r="E32" s="20" t="str">
        <f aca="false">IFERROR(INDEX('ALL CANDIDATES'!$Q$2:$Q$63,MATCH($B32,'ALL CANDIDATES'!$C$2:$C$63,0)),"")</f>
        <v>Oldest of 22 sampled posts</v>
      </c>
      <c r="F32" s="2"/>
      <c r="G32" s="8" t="n">
        <f aca="false">IFERROR(INDEX('ALL CANDIDATES'!$AI$2:$AI$63,MATCH($B32,'ALL CANDIDATES'!$C$2:$C$63,0)),"")</f>
        <v>46226</v>
      </c>
      <c r="H32" s="4" t="n">
        <f aca="false">IFERROR(INDEX('ALL CANDIDATES'!$AG$2:$AG$63,MATCH($B32,'ALL CANDIDATES'!$C$2:$C$63,0)),"")</f>
        <v>565164</v>
      </c>
      <c r="I32" s="6" t="str">
        <f aca="false">IFERROR(INDEX('ALL CANDIDATES'!$AH$2:$AH$63,MATCH($B32,'ALL CANDIDATES'!$C$2:$C$63,0)),"")</f>
        <v>https://www.instagram.com/p/DbI9CnVxzJs/</v>
      </c>
      <c r="J32" s="2" t="n">
        <f aca="false">IF(OR(D32="",G32=""),"",G32-D32)</f>
        <v>13</v>
      </c>
      <c r="K32" s="8" t="n">
        <f aca="false">IFERROR(INDEX('ALL CANDIDATES'!$R$2:$R$63,MATCH($B32,'ALL CANDIDATES'!$C$2:$C$63,0)),"")</f>
        <v>46301</v>
      </c>
      <c r="L32" s="2" t="n">
        <f aca="false">IF(OR(D32="",K32=""),"",K32-D32)</f>
        <v>88</v>
      </c>
      <c r="M32" s="9" t="s">
        <v>1149</v>
      </c>
      <c r="N32" s="9" t="s">
        <v>1150</v>
      </c>
      <c r="O32" s="9" t="s">
        <v>1125</v>
      </c>
      <c r="P32" s="2" t="s">
        <v>1151</v>
      </c>
    </row>
    <row r="33" customFormat="false" ht="15" hidden="false" customHeight="false" outlineLevel="0" collapsed="false">
      <c r="A33" s="2" t="s">
        <v>695</v>
      </c>
      <c r="B33" s="2" t="s">
        <v>696</v>
      </c>
      <c r="C33" s="2" t="s">
        <v>275</v>
      </c>
      <c r="D33" s="8" t="n">
        <f aca="false">IFERROR(INDEX('ALL CANDIDATES'!$P$2:$P$63,MATCH($B33,'ALL CANDIDATES'!$C$2:$C$63,0)),"")</f>
        <v>46265</v>
      </c>
      <c r="E33" s="20" t="str">
        <f aca="false">IFERROR(INDEX('ALL CANDIDATES'!$Q$2:$Q$63,MATCH($B33,'ALL CANDIDATES'!$C$2:$C$63,0)),"")</f>
        <v>Oldest of 22 sampled posts</v>
      </c>
      <c r="F33" s="2"/>
      <c r="G33" s="8" t="n">
        <f aca="false">IFERROR(INDEX('ALL CANDIDATES'!$AI$2:$AI$63,MATCH($B33,'ALL CANDIDATES'!$C$2:$C$63,0)),"")</f>
        <v>46300</v>
      </c>
      <c r="H33" s="4" t="n">
        <f aca="false">IFERROR(INDEX('ALL CANDIDATES'!$AG$2:$AG$63,MATCH($B33,'ALL CANDIDATES'!$C$2:$C$63,0)),"")</f>
        <v>2697</v>
      </c>
      <c r="I33" s="6" t="str">
        <f aca="false">IFERROR(INDEX('ALL CANDIDATES'!$AH$2:$AH$63,MATCH($B33,'ALL CANDIDATES'!$C$2:$C$63,0)),"")</f>
        <v>https://www.instagram.com/p/DeHf1OyIzas/</v>
      </c>
      <c r="J33" s="2" t="n">
        <f aca="false">IF(OR(D33="",G33=""),"",G33-D33)</f>
        <v>35</v>
      </c>
      <c r="K33" s="8" t="n">
        <f aca="false">IFERROR(INDEX('ALL CANDIDATES'!$R$2:$R$63,MATCH($B33,'ALL CANDIDATES'!$C$2:$C$63,0)),"")</f>
        <v>46302</v>
      </c>
      <c r="L33" s="2" t="n">
        <f aca="false">IF(OR(D33="",K33=""),"",K33-D33)</f>
        <v>37</v>
      </c>
      <c r="M33" s="9"/>
      <c r="N33" s="9"/>
      <c r="O33" s="9"/>
      <c r="P33" s="2"/>
    </row>
    <row r="34" customFormat="false" ht="15" hidden="false" customHeight="false" outlineLevel="0" collapsed="false">
      <c r="A34" s="2" t="s">
        <v>708</v>
      </c>
      <c r="B34" s="2" t="s">
        <v>709</v>
      </c>
      <c r="C34" s="2" t="s">
        <v>275</v>
      </c>
      <c r="D34" s="8" t="n">
        <f aca="false">IFERROR(INDEX('ALL CANDIDATES'!$P$2:$P$63,MATCH($B34,'ALL CANDIDATES'!$C$2:$C$63,0)),"")</f>
        <v>46212</v>
      </c>
      <c r="E34" s="20" t="str">
        <f aca="false">IFERROR(INDEX('ALL CANDIDATES'!$Q$2:$Q$63,MATCH($B34,'ALL CANDIDATES'!$C$2:$C$63,0)),"")</f>
        <v>Oldest of 22 sampled posts</v>
      </c>
      <c r="F34" s="2"/>
      <c r="G34" s="8" t="n">
        <f aca="false">IFERROR(INDEX('ALL CANDIDATES'!$AI$2:$AI$63,MATCH($B34,'ALL CANDIDATES'!$C$2:$C$63,0)),"")</f>
        <v>46286</v>
      </c>
      <c r="H34" s="4" t="n">
        <f aca="false">IFERROR(INDEX('ALL CANDIDATES'!$AG$2:$AG$63,MATCH($B34,'ALL CANDIDATES'!$C$2:$C$63,0)),"")</f>
        <v>50556</v>
      </c>
      <c r="I34" s="6" t="str">
        <f aca="false">IFERROR(INDEX('ALL CANDIDATES'!$AH$2:$AH$63,MATCH($B34,'ALL CANDIDATES'!$C$2:$C$63,0)),"")</f>
        <v>https://www.instagram.com/p/DdjHD7akvR8/</v>
      </c>
      <c r="J34" s="2" t="n">
        <f aca="false">IF(OR(D34="",G34=""),"",G34-D34)</f>
        <v>74</v>
      </c>
      <c r="K34" s="8" t="n">
        <f aca="false">IFERROR(INDEX('ALL CANDIDATES'!$R$2:$R$63,MATCH($B34,'ALL CANDIDATES'!$C$2:$C$63,0)),"")</f>
        <v>46302</v>
      </c>
      <c r="L34" s="2" t="n">
        <f aca="false">IF(OR(D34="",K34=""),"",K34-D34)</f>
        <v>90</v>
      </c>
      <c r="M34" s="9"/>
      <c r="N34" s="9"/>
      <c r="O34" s="9"/>
      <c r="P34" s="2"/>
    </row>
    <row r="35" customFormat="false" ht="15" hidden="false" customHeight="false" outlineLevel="0" collapsed="false">
      <c r="A35" s="2" t="s">
        <v>721</v>
      </c>
      <c r="B35" s="2" t="s">
        <v>722</v>
      </c>
      <c r="C35" s="2" t="s">
        <v>275</v>
      </c>
      <c r="D35" s="8" t="n">
        <f aca="false">IFERROR(INDEX('ALL CANDIDATES'!$P$2:$P$63,MATCH($B35,'ALL CANDIDATES'!$C$2:$C$63,0)),"")</f>
        <v>46224</v>
      </c>
      <c r="E35" s="20" t="str">
        <f aca="false">IFERROR(INDEX('ALL CANDIDATES'!$Q$2:$Q$63,MATCH($B35,'ALL CANDIDATES'!$C$2:$C$63,0)),"")</f>
        <v>Oldest of 22 sampled posts</v>
      </c>
      <c r="F35" s="2"/>
      <c r="G35" s="8" t="n">
        <f aca="false">IFERROR(INDEX('ALL CANDIDATES'!$AI$2:$AI$63,MATCH($B35,'ALL CANDIDATES'!$C$2:$C$63,0)),"")</f>
        <v>46259</v>
      </c>
      <c r="H35" s="4" t="n">
        <f aca="false">IFERROR(INDEX('ALL CANDIDATES'!$AG$2:$AG$63,MATCH($B35,'ALL CANDIDATES'!$C$2:$C$63,0)),"")</f>
        <v>5376</v>
      </c>
      <c r="I35" s="6" t="str">
        <f aca="false">IFERROR(INDEX('ALL CANDIDATES'!$AH$2:$AH$63,MATCH($B35,'ALL CANDIDATES'!$C$2:$C$63,0)),"")</f>
        <v>https://www.instagram.com/p/DceUOwhgqXK/</v>
      </c>
      <c r="J35" s="2" t="n">
        <f aca="false">IF(OR(D35="",G35=""),"",G35-D35)</f>
        <v>35</v>
      </c>
      <c r="K35" s="8" t="n">
        <f aca="false">IFERROR(INDEX('ALL CANDIDATES'!$R$2:$R$63,MATCH($B35,'ALL CANDIDATES'!$C$2:$C$63,0)),"")</f>
        <v>46296</v>
      </c>
      <c r="L35" s="2" t="n">
        <f aca="false">IF(OR(D35="",K35=""),"",K35-D35)</f>
        <v>72</v>
      </c>
      <c r="M35" s="9"/>
      <c r="N35" s="9"/>
      <c r="O35" s="9"/>
      <c r="P35" s="2"/>
    </row>
    <row r="36" customFormat="false" ht="15" hidden="false" customHeight="false" outlineLevel="0" collapsed="false">
      <c r="A36" s="2" t="s">
        <v>735</v>
      </c>
      <c r="B36" s="2" t="s">
        <v>736</v>
      </c>
      <c r="C36" s="2" t="s">
        <v>275</v>
      </c>
      <c r="D36" s="8" t="n">
        <f aca="false">IFERROR(INDEX('ALL CANDIDATES'!$P$2:$P$63,MATCH($B36,'ALL CANDIDATES'!$C$2:$C$63,0)),"")</f>
        <v>45675</v>
      </c>
      <c r="E36" s="20" t="str">
        <f aca="false">IFERROR(INDEX('ALL CANDIDATES'!$Q$2:$Q$63,MATCH($B36,'ALL CANDIDATES'!$C$2:$C$63,0)),"")</f>
        <v>Oldest of 22 sampled posts</v>
      </c>
      <c r="F36" s="2"/>
      <c r="G36" s="8" t="n">
        <f aca="false">IFERROR(INDEX('ALL CANDIDATES'!$AI$2:$AI$63,MATCH($B36,'ALL CANDIDATES'!$C$2:$C$63,0)),"")</f>
        <v>46210</v>
      </c>
      <c r="H36" s="4" t="n">
        <f aca="false">IFERROR(INDEX('ALL CANDIDATES'!$AG$2:$AG$63,MATCH($B36,'ALL CANDIDATES'!$C$2:$C$63,0)),"")</f>
        <v>21888</v>
      </c>
      <c r="I36" s="6" t="str">
        <f aca="false">IFERROR(INDEX('ALL CANDIDATES'!$AH$2:$AH$63,MATCH($B36,'ALL CANDIDATES'!$C$2:$C$63,0)),"")</f>
        <v>https://www.instagram.com/p/DaftyHNP0qz/</v>
      </c>
      <c r="J36" s="2" t="n">
        <f aca="false">IF(OR(D36="",G36=""),"",G36-D36)</f>
        <v>535</v>
      </c>
      <c r="K36" s="8" t="n">
        <f aca="false">IFERROR(INDEX('ALL CANDIDATES'!$R$2:$R$63,MATCH($B36,'ALL CANDIDATES'!$C$2:$C$63,0)),"")</f>
        <v>46287</v>
      </c>
      <c r="L36" s="2" t="n">
        <f aca="false">IF(OR(D36="",K36=""),"",K36-D36)</f>
        <v>612</v>
      </c>
      <c r="M36" s="9"/>
      <c r="N36" s="9"/>
      <c r="O36" s="9"/>
      <c r="P36" s="2"/>
    </row>
    <row r="37" customFormat="false" ht="15" hidden="false" customHeight="false" outlineLevel="0" collapsed="false">
      <c r="A37" s="2" t="s">
        <v>747</v>
      </c>
      <c r="B37" s="2" t="s">
        <v>748</v>
      </c>
      <c r="C37" s="2" t="s">
        <v>275</v>
      </c>
      <c r="D37" s="8" t="n">
        <f aca="false">IFERROR(INDEX('ALL CANDIDATES'!$P$2:$P$63,MATCH($B37,'ALL CANDIDATES'!$C$2:$C$63,0)),"")</f>
        <v>46039</v>
      </c>
      <c r="E37" s="20" t="str">
        <f aca="false">IFERROR(INDEX('ALL CANDIDATES'!$Q$2:$Q$63,MATCH($B37,'ALL CANDIDATES'!$C$2:$C$63,0)),"")</f>
        <v>Oldest of 22 sampled posts</v>
      </c>
      <c r="F37" s="2"/>
      <c r="G37" s="8" t="n">
        <f aca="false">IFERROR(INDEX('ALL CANDIDATES'!$AI$2:$AI$63,MATCH($B37,'ALL CANDIDATES'!$C$2:$C$63,0)),"")</f>
        <v>46097</v>
      </c>
      <c r="H37" s="4" t="n">
        <f aca="false">IFERROR(INDEX('ALL CANDIDATES'!$AG$2:$AG$63,MATCH($B37,'ALL CANDIDATES'!$C$2:$C$63,0)),"")</f>
        <v>1083</v>
      </c>
      <c r="I37" s="6" t="str">
        <f aca="false">IFERROR(INDEX('ALL CANDIDATES'!$AH$2:$AH$63,MATCH($B37,'ALL CANDIDATES'!$C$2:$C$63,0)),"")</f>
        <v>https://www.instagram.com/p/DV9MyM8iEAN/</v>
      </c>
      <c r="J37" s="2" t="n">
        <f aca="false">IF(OR(D37="",G37=""),"",G37-D37)</f>
        <v>58</v>
      </c>
      <c r="K37" s="8" t="n">
        <f aca="false">IFERROR(INDEX('ALL CANDIDATES'!$R$2:$R$63,MATCH($B37,'ALL CANDIDATES'!$C$2:$C$63,0)),"")</f>
        <v>46267</v>
      </c>
      <c r="L37" s="2" t="n">
        <f aca="false">IF(OR(D37="",K37=""),"",K37-D37)</f>
        <v>228</v>
      </c>
      <c r="M37" s="9"/>
      <c r="N37" s="9"/>
      <c r="O37" s="9"/>
      <c r="P37" s="2"/>
    </row>
    <row r="38" customFormat="false" ht="15" hidden="false" customHeight="false" outlineLevel="0" collapsed="false">
      <c r="A38" s="2" t="s">
        <v>759</v>
      </c>
      <c r="B38" s="2" t="s">
        <v>760</v>
      </c>
      <c r="C38" s="2" t="s">
        <v>275</v>
      </c>
      <c r="D38" s="8" t="n">
        <f aca="false">IFERROR(INDEX('ALL CANDIDATES'!$P$2:$P$63,MATCH($B38,'ALL CANDIDATES'!$C$2:$C$63,0)),"")</f>
        <v>45805</v>
      </c>
      <c r="E38" s="20" t="str">
        <f aca="false">IFERROR(INDEX('ALL CANDIDATES'!$Q$2:$Q$63,MATCH($B38,'ALL CANDIDATES'!$C$2:$C$63,0)),"")</f>
        <v>Pinned post (oldest in sample)</v>
      </c>
      <c r="F38" s="2"/>
      <c r="G38" s="8" t="n">
        <f aca="false">IFERROR(INDEX('ALL CANDIDATES'!$AI$2:$AI$63,MATCH($B38,'ALL CANDIDATES'!$C$2:$C$63,0)),"")</f>
        <v>45807</v>
      </c>
      <c r="H38" s="4" t="n">
        <f aca="false">IFERROR(INDEX('ALL CANDIDATES'!$AG$2:$AG$63,MATCH($B38,'ALL CANDIDATES'!$C$2:$C$63,0)),"")</f>
        <v>297057</v>
      </c>
      <c r="I38" s="6" t="str">
        <f aca="false">IFERROR(INDEX('ALL CANDIDATES'!$AH$2:$AH$63,MATCH($B38,'ALL CANDIDATES'!$C$2:$C$63,0)),"")</f>
        <v>https://www.instagram.com/p/DKSml-3A7rF/</v>
      </c>
      <c r="J38" s="2" t="n">
        <f aca="false">IF(OR(D38="",G38=""),"",G38-D38)</f>
        <v>2</v>
      </c>
      <c r="K38" s="8" t="n">
        <f aca="false">IFERROR(INDEX('ALL CANDIDATES'!$R$2:$R$63,MATCH($B38,'ALL CANDIDATES'!$C$2:$C$63,0)),"")</f>
        <v>46303</v>
      </c>
      <c r="L38" s="2" t="n">
        <f aca="false">IF(OR(D38="",K38=""),"",K38-D38)</f>
        <v>498</v>
      </c>
      <c r="M38" s="9"/>
      <c r="N38" s="9"/>
      <c r="O38" s="9"/>
      <c r="P38" s="2"/>
    </row>
    <row r="39" customFormat="false" ht="23.85" hidden="false" customHeight="false" outlineLevel="0" collapsed="false">
      <c r="A39" s="2" t="s">
        <v>773</v>
      </c>
      <c r="B39" s="2" t="s">
        <v>774</v>
      </c>
      <c r="C39" s="2" t="s">
        <v>275</v>
      </c>
      <c r="D39" s="8" t="n">
        <f aca="false">IFERROR(INDEX('ALL CANDIDATES'!$P$2:$P$63,MATCH($B39,'ALL CANDIDATES'!$C$2:$C$63,0)),"")</f>
        <v>46125</v>
      </c>
      <c r="E39" s="20" t="str">
        <f aca="false">IFERROR(INDEX('ALL CANDIDATES'!$Q$2:$Q$63,MATCH($B39,'ALL CANDIDATES'!$C$2:$C$63,0)),"")</f>
        <v>Oldest of 22 sampled non-pinned posts (pinned date 2025-07-30)</v>
      </c>
      <c r="F39" s="2"/>
      <c r="G39" s="8" t="n">
        <f aca="false">IFERROR(INDEX('ALL CANDIDATES'!$AI$2:$AI$63,MATCH($B39,'ALL CANDIDATES'!$C$2:$C$63,0)),"")</f>
        <v>46283</v>
      </c>
      <c r="H39" s="4" t="n">
        <f aca="false">IFERROR(INDEX('ALL CANDIDATES'!$AG$2:$AG$63,MATCH($B39,'ALL CANDIDATES'!$C$2:$C$63,0)),"")</f>
        <v>4238</v>
      </c>
      <c r="I39" s="6" t="str">
        <f aca="false">IFERROR(INDEX('ALL CANDIDATES'!$AH$2:$AH$63,MATCH($B39,'ALL CANDIDATES'!$C$2:$C$63,0)),"")</f>
        <v>https://www.instagram.com/p/DdbhN3RBgYT/</v>
      </c>
      <c r="J39" s="2" t="n">
        <f aca="false">IF(OR(D39="",G39=""),"",G39-D39)</f>
        <v>158</v>
      </c>
      <c r="K39" s="8" t="n">
        <f aca="false">IFERROR(INDEX('ALL CANDIDATES'!$R$2:$R$63,MATCH($B39,'ALL CANDIDATES'!$C$2:$C$63,0)),"")</f>
        <v>46301</v>
      </c>
      <c r="L39" s="2" t="n">
        <f aca="false">IF(OR(D39="",K39=""),"",K39-D39)</f>
        <v>176</v>
      </c>
      <c r="M39" s="9"/>
      <c r="N39" s="9"/>
      <c r="O39" s="9"/>
      <c r="P39" s="2"/>
    </row>
    <row r="40" customFormat="false" ht="15" hidden="false" customHeight="false" outlineLevel="0" collapsed="false">
      <c r="A40" s="2" t="s">
        <v>789</v>
      </c>
      <c r="B40" s="2" t="s">
        <v>790</v>
      </c>
      <c r="C40" s="2" t="s">
        <v>793</v>
      </c>
      <c r="D40" s="8" t="n">
        <f aca="false">IFERROR(INDEX('ALL CANDIDATES'!$P$2:$P$63,MATCH($B40,'ALL CANDIDATES'!$C$2:$C$63,0)),"")</f>
        <v>46290</v>
      </c>
      <c r="E40" s="20" t="n">
        <f aca="false">IFERROR(INDEX('ALL CANDIDATES'!$Q$2:$Q$63,MATCH($B40,'ALL CANDIDATES'!$C$2:$C$63,0)),"")</f>
        <v>0</v>
      </c>
      <c r="F40" s="2"/>
      <c r="G40" s="8" t="n">
        <f aca="false">IFERROR(INDEX('ALL CANDIDATES'!$AI$2:$AI$63,MATCH($B40,'ALL CANDIDATES'!$C$2:$C$63,0)),"")</f>
        <v>0</v>
      </c>
      <c r="H40" s="4" t="n">
        <f aca="false">IFERROR(INDEX('ALL CANDIDATES'!$AG$2:$AG$63,MATCH($B40,'ALL CANDIDATES'!$C$2:$C$63,0)),"")</f>
        <v>62430</v>
      </c>
      <c r="I40" s="6" t="n">
        <f aca="false">IFERROR(INDEX('ALL CANDIDATES'!$AH$2:$AH$63,MATCH($B40,'ALL CANDIDATES'!$C$2:$C$63,0)),"")</f>
        <v>0</v>
      </c>
      <c r="J40" s="2" t="str">
        <f aca="false">IF(OR(D40="",G40=""),"",G40-D40)</f>
        <v/>
      </c>
      <c r="K40" s="8" t="n">
        <f aca="false">IFERROR(INDEX('ALL CANDIDATES'!$R$2:$R$63,MATCH($B40,'ALL CANDIDATES'!$C$2:$C$63,0)),"")</f>
        <v>46295</v>
      </c>
      <c r="L40" s="2" t="n">
        <f aca="false">IF(OR(D40="",K40=""),"",K40-D40)</f>
        <v>5</v>
      </c>
      <c r="M40" s="9"/>
      <c r="N40" s="9"/>
      <c r="O40" s="9"/>
      <c r="P40" s="2"/>
    </row>
    <row r="41" customFormat="false" ht="15" hidden="false" customHeight="false" outlineLevel="0" collapsed="false">
      <c r="A41" s="2" t="s">
        <v>797</v>
      </c>
      <c r="B41" s="2" t="s">
        <v>798</v>
      </c>
      <c r="C41" s="2" t="s">
        <v>793</v>
      </c>
      <c r="D41" s="8" t="n">
        <f aca="false">IFERROR(INDEX('ALL CANDIDATES'!$P$2:$P$63,MATCH($B41,'ALL CANDIDATES'!$C$2:$C$63,0)),"")</f>
        <v>46289</v>
      </c>
      <c r="E41" s="20" t="n">
        <f aca="false">IFERROR(INDEX('ALL CANDIDATES'!$Q$2:$Q$63,MATCH($B41,'ALL CANDIDATES'!$C$2:$C$63,0)),"")</f>
        <v>0</v>
      </c>
      <c r="F41" s="2"/>
      <c r="G41" s="8" t="n">
        <f aca="false">IFERROR(INDEX('ALL CANDIDATES'!$AI$2:$AI$63,MATCH($B41,'ALL CANDIDATES'!$C$2:$C$63,0)),"")</f>
        <v>0</v>
      </c>
      <c r="H41" s="4" t="n">
        <f aca="false">IFERROR(INDEX('ALL CANDIDATES'!$AG$2:$AG$63,MATCH($B41,'ALL CANDIDATES'!$C$2:$C$63,0)),"")</f>
        <v>101</v>
      </c>
      <c r="I41" s="6" t="n">
        <f aca="false">IFERROR(INDEX('ALL CANDIDATES'!$AH$2:$AH$63,MATCH($B41,'ALL CANDIDATES'!$C$2:$C$63,0)),"")</f>
        <v>0</v>
      </c>
      <c r="J41" s="2" t="str">
        <f aca="false">IF(OR(D41="",G41=""),"",G41-D41)</f>
        <v/>
      </c>
      <c r="K41" s="8" t="n">
        <f aca="false">IFERROR(INDEX('ALL CANDIDATES'!$R$2:$R$63,MATCH($B41,'ALL CANDIDATES'!$C$2:$C$63,0)),"")</f>
        <v>46303</v>
      </c>
      <c r="L41" s="2" t="n">
        <f aca="false">IF(OR(D41="",K41=""),"",K41-D41)</f>
        <v>14</v>
      </c>
      <c r="M41" s="9"/>
      <c r="N41" s="9"/>
      <c r="O41" s="9"/>
      <c r="P41" s="2"/>
    </row>
    <row r="42" customFormat="false" ht="15" hidden="false" customHeight="false" outlineLevel="0" collapsed="false">
      <c r="A42" s="2" t="s">
        <v>803</v>
      </c>
      <c r="B42" s="2" t="s">
        <v>804</v>
      </c>
      <c r="C42" s="2" t="s">
        <v>793</v>
      </c>
      <c r="D42" s="8" t="n">
        <f aca="false">IFERROR(INDEX('ALL CANDIDATES'!$P$2:$P$63,MATCH($B42,'ALL CANDIDATES'!$C$2:$C$63,0)),"")</f>
        <v>0</v>
      </c>
      <c r="E42" s="20" t="n">
        <f aca="false">IFERROR(INDEX('ALL CANDIDATES'!$Q$2:$Q$63,MATCH($B42,'ALL CANDIDATES'!$C$2:$C$63,0)),"")</f>
        <v>0</v>
      </c>
      <c r="F42" s="2"/>
      <c r="G42" s="8" t="n">
        <f aca="false">IFERROR(INDEX('ALL CANDIDATES'!$AI$2:$AI$63,MATCH($B42,'ALL CANDIDATES'!$C$2:$C$63,0)),"")</f>
        <v>0</v>
      </c>
      <c r="H42" s="4" t="n">
        <f aca="false">IFERROR(INDEX('ALL CANDIDATES'!$AG$2:$AG$63,MATCH($B42,'ALL CANDIDATES'!$C$2:$C$63,0)),"")</f>
        <v>1106528</v>
      </c>
      <c r="I42" s="6" t="n">
        <f aca="false">IFERROR(INDEX('ALL CANDIDATES'!$AH$2:$AH$63,MATCH($B42,'ALL CANDIDATES'!$C$2:$C$63,0)),"")</f>
        <v>0</v>
      </c>
      <c r="J42" s="2" t="str">
        <f aca="false">IF(OR(D42="",G42=""),"",G42-D42)</f>
        <v/>
      </c>
      <c r="K42" s="8" t="n">
        <f aca="false">IFERROR(INDEX('ALL CANDIDATES'!$R$2:$R$63,MATCH($B42,'ALL CANDIDATES'!$C$2:$C$63,0)),"")</f>
        <v>46304</v>
      </c>
      <c r="L42" s="2" t="str">
        <f aca="false">IF(OR(D42="",K42=""),"",K42-D42)</f>
        <v/>
      </c>
      <c r="M42" s="9"/>
      <c r="N42" s="9"/>
      <c r="O42" s="9"/>
      <c r="P42" s="2"/>
    </row>
    <row r="43" customFormat="false" ht="15" hidden="false" customHeight="false" outlineLevel="0" collapsed="false">
      <c r="A43" s="2" t="s">
        <v>809</v>
      </c>
      <c r="B43" s="2" t="s">
        <v>810</v>
      </c>
      <c r="C43" s="2" t="s">
        <v>793</v>
      </c>
      <c r="D43" s="8" t="n">
        <f aca="false">IFERROR(INDEX('ALL CANDIDATES'!$P$2:$P$63,MATCH($B43,'ALL CANDIDATES'!$C$2:$C$63,0)),"")</f>
        <v>0</v>
      </c>
      <c r="E43" s="20" t="n">
        <f aca="false">IFERROR(INDEX('ALL CANDIDATES'!$Q$2:$Q$63,MATCH($B43,'ALL CANDIDATES'!$C$2:$C$63,0)),"")</f>
        <v>0</v>
      </c>
      <c r="F43" s="2"/>
      <c r="G43" s="8" t="n">
        <f aca="false">IFERROR(INDEX('ALL CANDIDATES'!$AI$2:$AI$63,MATCH($B43,'ALL CANDIDATES'!$C$2:$C$63,0)),"")</f>
        <v>0</v>
      </c>
      <c r="H43" s="4" t="n">
        <f aca="false">IFERROR(INDEX('ALL CANDIDATES'!$AG$2:$AG$63,MATCH($B43,'ALL CANDIDATES'!$C$2:$C$63,0)),"")</f>
        <v>17374</v>
      </c>
      <c r="I43" s="6" t="n">
        <f aca="false">IFERROR(INDEX('ALL CANDIDATES'!$AH$2:$AH$63,MATCH($B43,'ALL CANDIDATES'!$C$2:$C$63,0)),"")</f>
        <v>0</v>
      </c>
      <c r="J43" s="2" t="str">
        <f aca="false">IF(OR(D43="",G43=""),"",G43-D43)</f>
        <v/>
      </c>
      <c r="K43" s="8" t="n">
        <f aca="false">IFERROR(INDEX('ALL CANDIDATES'!$R$2:$R$63,MATCH($B43,'ALL CANDIDATES'!$C$2:$C$63,0)),"")</f>
        <v>46304</v>
      </c>
      <c r="L43" s="2" t="str">
        <f aca="false">IF(OR(D43="",K43=""),"",K43-D43)</f>
        <v/>
      </c>
      <c r="M43" s="9"/>
      <c r="N43" s="9"/>
      <c r="O43" s="9"/>
      <c r="P43" s="2"/>
    </row>
    <row r="44" customFormat="false" ht="15" hidden="false" customHeight="false" outlineLevel="0" collapsed="false">
      <c r="A44" s="2" t="s">
        <v>814</v>
      </c>
      <c r="B44" s="2" t="s">
        <v>815</v>
      </c>
      <c r="C44" s="2" t="s">
        <v>793</v>
      </c>
      <c r="D44" s="8" t="n">
        <f aca="false">IFERROR(INDEX('ALL CANDIDATES'!$P$2:$P$63,MATCH($B44,'ALL CANDIDATES'!$C$2:$C$63,0)),"")</f>
        <v>0</v>
      </c>
      <c r="E44" s="20" t="n">
        <f aca="false">IFERROR(INDEX('ALL CANDIDATES'!$Q$2:$Q$63,MATCH($B44,'ALL CANDIDATES'!$C$2:$C$63,0)),"")</f>
        <v>0</v>
      </c>
      <c r="F44" s="2"/>
      <c r="G44" s="8" t="n">
        <f aca="false">IFERROR(INDEX('ALL CANDIDATES'!$AI$2:$AI$63,MATCH($B44,'ALL CANDIDATES'!$C$2:$C$63,0)),"")</f>
        <v>0</v>
      </c>
      <c r="H44" s="4" t="n">
        <f aca="false">IFERROR(INDEX('ALL CANDIDATES'!$AG$2:$AG$63,MATCH($B44,'ALL CANDIDATES'!$C$2:$C$63,0)),"")</f>
        <v>55510</v>
      </c>
      <c r="I44" s="6" t="n">
        <f aca="false">IFERROR(INDEX('ALL CANDIDATES'!$AH$2:$AH$63,MATCH($B44,'ALL CANDIDATES'!$C$2:$C$63,0)),"")</f>
        <v>0</v>
      </c>
      <c r="J44" s="2" t="str">
        <f aca="false">IF(OR(D44="",G44=""),"",G44-D44)</f>
        <v/>
      </c>
      <c r="K44" s="8" t="n">
        <f aca="false">IFERROR(INDEX('ALL CANDIDATES'!$R$2:$R$63,MATCH($B44,'ALL CANDIDATES'!$C$2:$C$63,0)),"")</f>
        <v>46303</v>
      </c>
      <c r="L44" s="2" t="str">
        <f aca="false">IF(OR(D44="",K44=""),"",K44-D44)</f>
        <v/>
      </c>
      <c r="M44" s="9"/>
      <c r="N44" s="9"/>
      <c r="O44" s="9"/>
      <c r="P44" s="2"/>
    </row>
    <row r="45" customFormat="false" ht="15" hidden="false" customHeight="false" outlineLevel="0" collapsed="false">
      <c r="A45" s="2" t="s">
        <v>819</v>
      </c>
      <c r="B45" s="2" t="s">
        <v>820</v>
      </c>
      <c r="C45" s="2" t="s">
        <v>793</v>
      </c>
      <c r="D45" s="8" t="n">
        <f aca="false">IFERROR(INDEX('ALL CANDIDATES'!$P$2:$P$63,MATCH($B45,'ALL CANDIDATES'!$C$2:$C$63,0)),"")</f>
        <v>0</v>
      </c>
      <c r="E45" s="20" t="n">
        <f aca="false">IFERROR(INDEX('ALL CANDIDATES'!$Q$2:$Q$63,MATCH($B45,'ALL CANDIDATES'!$C$2:$C$63,0)),"")</f>
        <v>0</v>
      </c>
      <c r="F45" s="2"/>
      <c r="G45" s="8" t="n">
        <f aca="false">IFERROR(INDEX('ALL CANDIDATES'!$AI$2:$AI$63,MATCH($B45,'ALL CANDIDATES'!$C$2:$C$63,0)),"")</f>
        <v>0</v>
      </c>
      <c r="H45" s="4" t="n">
        <f aca="false">IFERROR(INDEX('ALL CANDIDATES'!$AG$2:$AG$63,MATCH($B45,'ALL CANDIDATES'!$C$2:$C$63,0)),"")</f>
        <v>0</v>
      </c>
      <c r="I45" s="6" t="n">
        <f aca="false">IFERROR(INDEX('ALL CANDIDATES'!$AH$2:$AH$63,MATCH($B45,'ALL CANDIDATES'!$C$2:$C$63,0)),"")</f>
        <v>0</v>
      </c>
      <c r="J45" s="2" t="str">
        <f aca="false">IF(OR(D45="",G45=""),"",G45-D45)</f>
        <v/>
      </c>
      <c r="K45" s="8" t="n">
        <f aca="false">IFERROR(INDEX('ALL CANDIDATES'!$R$2:$R$63,MATCH($B45,'ALL CANDIDATES'!$C$2:$C$63,0)),"")</f>
        <v>0</v>
      </c>
      <c r="L45" s="2" t="str">
        <f aca="false">IF(OR(D45="",K45=""),"",K45-D45)</f>
        <v/>
      </c>
      <c r="M45" s="9"/>
      <c r="N45" s="9"/>
      <c r="O45" s="9"/>
      <c r="P45" s="2"/>
    </row>
    <row r="46" customFormat="false" ht="15" hidden="false" customHeight="false" outlineLevel="0" collapsed="false">
      <c r="A46" s="2" t="s">
        <v>823</v>
      </c>
      <c r="B46" s="2" t="s">
        <v>824</v>
      </c>
      <c r="C46" s="2" t="s">
        <v>793</v>
      </c>
      <c r="D46" s="8" t="n">
        <f aca="false">IFERROR(INDEX('ALL CANDIDATES'!$P$2:$P$63,MATCH($B46,'ALL CANDIDATES'!$C$2:$C$63,0)),"")</f>
        <v>0</v>
      </c>
      <c r="E46" s="20" t="n">
        <f aca="false">IFERROR(INDEX('ALL CANDIDATES'!$Q$2:$Q$63,MATCH($B46,'ALL CANDIDATES'!$C$2:$C$63,0)),"")</f>
        <v>0</v>
      </c>
      <c r="F46" s="2"/>
      <c r="G46" s="8" t="n">
        <f aca="false">IFERROR(INDEX('ALL CANDIDATES'!$AI$2:$AI$63,MATCH($B46,'ALL CANDIDATES'!$C$2:$C$63,0)),"")</f>
        <v>0</v>
      </c>
      <c r="H46" s="4" t="n">
        <f aca="false">IFERROR(INDEX('ALL CANDIDATES'!$AG$2:$AG$63,MATCH($B46,'ALL CANDIDATES'!$C$2:$C$63,0)),"")</f>
        <v>0</v>
      </c>
      <c r="I46" s="6" t="n">
        <f aca="false">IFERROR(INDEX('ALL CANDIDATES'!$AH$2:$AH$63,MATCH($B46,'ALL CANDIDATES'!$C$2:$C$63,0)),"")</f>
        <v>0</v>
      </c>
      <c r="J46" s="2" t="str">
        <f aca="false">IF(OR(D46="",G46=""),"",G46-D46)</f>
        <v/>
      </c>
      <c r="K46" s="8" t="n">
        <f aca="false">IFERROR(INDEX('ALL CANDIDATES'!$R$2:$R$63,MATCH($B46,'ALL CANDIDATES'!$C$2:$C$63,0)),"")</f>
        <v>0</v>
      </c>
      <c r="L46" s="2" t="str">
        <f aca="false">IF(OR(D46="",K46=""),"",K46-D46)</f>
        <v/>
      </c>
      <c r="M46" s="9"/>
      <c r="N46" s="9"/>
      <c r="O46" s="9"/>
      <c r="P46" s="2"/>
    </row>
    <row r="47" customFormat="false" ht="15" hidden="false" customHeight="false" outlineLevel="0" collapsed="false">
      <c r="A47" s="2" t="s">
        <v>827</v>
      </c>
      <c r="B47" s="2" t="s">
        <v>828</v>
      </c>
      <c r="C47" s="2" t="s">
        <v>793</v>
      </c>
      <c r="D47" s="8" t="n">
        <f aca="false">IFERROR(INDEX('ALL CANDIDATES'!$P$2:$P$63,MATCH($B47,'ALL CANDIDATES'!$C$2:$C$63,0)),"")</f>
        <v>0</v>
      </c>
      <c r="E47" s="20" t="n">
        <f aca="false">IFERROR(INDEX('ALL CANDIDATES'!$Q$2:$Q$63,MATCH($B47,'ALL CANDIDATES'!$C$2:$C$63,0)),"")</f>
        <v>0</v>
      </c>
      <c r="F47" s="2"/>
      <c r="G47" s="8" t="n">
        <f aca="false">IFERROR(INDEX('ALL CANDIDATES'!$AI$2:$AI$63,MATCH($B47,'ALL CANDIDATES'!$C$2:$C$63,0)),"")</f>
        <v>0</v>
      </c>
      <c r="H47" s="4" t="n">
        <f aca="false">IFERROR(INDEX('ALL CANDIDATES'!$AG$2:$AG$63,MATCH($B47,'ALL CANDIDATES'!$C$2:$C$63,0)),"")</f>
        <v>9693</v>
      </c>
      <c r="I47" s="6" t="n">
        <f aca="false">IFERROR(INDEX('ALL CANDIDATES'!$AH$2:$AH$63,MATCH($B47,'ALL CANDIDATES'!$C$2:$C$63,0)),"")</f>
        <v>0</v>
      </c>
      <c r="J47" s="2" t="str">
        <f aca="false">IF(OR(D47="",G47=""),"",G47-D47)</f>
        <v/>
      </c>
      <c r="K47" s="8" t="n">
        <f aca="false">IFERROR(INDEX('ALL CANDIDATES'!$R$2:$R$63,MATCH($B47,'ALL CANDIDATES'!$C$2:$C$63,0)),"")</f>
        <v>0</v>
      </c>
      <c r="L47" s="2" t="str">
        <f aca="false">IF(OR(D47="",K47=""),"",K47-D47)</f>
        <v/>
      </c>
      <c r="M47" s="9"/>
      <c r="N47" s="9"/>
      <c r="O47" s="9"/>
      <c r="P47" s="2"/>
    </row>
    <row r="48" customFormat="false" ht="15" hidden="false" customHeight="false" outlineLevel="0" collapsed="false">
      <c r="A48" s="2" t="s">
        <v>831</v>
      </c>
      <c r="B48" s="2" t="s">
        <v>832</v>
      </c>
      <c r="C48" s="2" t="s">
        <v>793</v>
      </c>
      <c r="D48" s="8" t="n">
        <f aca="false">IFERROR(INDEX('ALL CANDIDATES'!$P$2:$P$63,MATCH($B48,'ALL CANDIDATES'!$C$2:$C$63,0)),"")</f>
        <v>0</v>
      </c>
      <c r="E48" s="20" t="n">
        <f aca="false">IFERROR(INDEX('ALL CANDIDATES'!$Q$2:$Q$63,MATCH($B48,'ALL CANDIDATES'!$C$2:$C$63,0)),"")</f>
        <v>0</v>
      </c>
      <c r="F48" s="2"/>
      <c r="G48" s="8" t="n">
        <f aca="false">IFERROR(INDEX('ALL CANDIDATES'!$AI$2:$AI$63,MATCH($B48,'ALL CANDIDATES'!$C$2:$C$63,0)),"")</f>
        <v>0</v>
      </c>
      <c r="H48" s="4" t="n">
        <f aca="false">IFERROR(INDEX('ALL CANDIDATES'!$AG$2:$AG$63,MATCH($B48,'ALL CANDIDATES'!$C$2:$C$63,0)),"")</f>
        <v>30</v>
      </c>
      <c r="I48" s="6" t="n">
        <f aca="false">IFERROR(INDEX('ALL CANDIDATES'!$AH$2:$AH$63,MATCH($B48,'ALL CANDIDATES'!$C$2:$C$63,0)),"")</f>
        <v>0</v>
      </c>
      <c r="J48" s="2" t="str">
        <f aca="false">IF(OR(D48="",G48=""),"",G48-D48)</f>
        <v/>
      </c>
      <c r="K48" s="8" t="n">
        <f aca="false">IFERROR(INDEX('ALL CANDIDATES'!$R$2:$R$63,MATCH($B48,'ALL CANDIDATES'!$C$2:$C$63,0)),"")</f>
        <v>46303</v>
      </c>
      <c r="L48" s="2" t="str">
        <f aca="false">IF(OR(D48="",K48=""),"",K48-D48)</f>
        <v/>
      </c>
      <c r="M48" s="9"/>
      <c r="N48" s="9"/>
      <c r="O48" s="9"/>
      <c r="P48" s="2"/>
    </row>
    <row r="49" customFormat="false" ht="15" hidden="false" customHeight="false" outlineLevel="0" collapsed="false">
      <c r="A49" s="2" t="s">
        <v>835</v>
      </c>
      <c r="B49" s="2" t="s">
        <v>836</v>
      </c>
      <c r="C49" s="2" t="s">
        <v>838</v>
      </c>
      <c r="D49" s="8" t="n">
        <f aca="false">IFERROR(INDEX('ALL CANDIDATES'!$P$2:$P$63,MATCH($B49,'ALL CANDIDATES'!$C$2:$C$63,0)),"")</f>
        <v>0</v>
      </c>
      <c r="E49" s="20" t="n">
        <f aca="false">IFERROR(INDEX('ALL CANDIDATES'!$Q$2:$Q$63,MATCH($B49,'ALL CANDIDATES'!$C$2:$C$63,0)),"")</f>
        <v>0</v>
      </c>
      <c r="F49" s="2"/>
      <c r="G49" s="8" t="n">
        <f aca="false">IFERROR(INDEX('ALL CANDIDATES'!$AI$2:$AI$63,MATCH($B49,'ALL CANDIDATES'!$C$2:$C$63,0)),"")</f>
        <v>0</v>
      </c>
      <c r="H49" s="4" t="n">
        <f aca="false">IFERROR(INDEX('ALL CANDIDATES'!$AG$2:$AG$63,MATCH($B49,'ALL CANDIDATES'!$C$2:$C$63,0)),"")</f>
        <v>0</v>
      </c>
      <c r="I49" s="6" t="n">
        <f aca="false">IFERROR(INDEX('ALL CANDIDATES'!$AH$2:$AH$63,MATCH($B49,'ALL CANDIDATES'!$C$2:$C$63,0)),"")</f>
        <v>0</v>
      </c>
      <c r="J49" s="2" t="str">
        <f aca="false">IF(OR(D49="",G49=""),"",G49-D49)</f>
        <v/>
      </c>
      <c r="K49" s="8" t="n">
        <f aca="false">IFERROR(INDEX('ALL CANDIDATES'!$R$2:$R$63,MATCH($B49,'ALL CANDIDATES'!$C$2:$C$63,0)),"")</f>
        <v>46304</v>
      </c>
      <c r="L49" s="2" t="str">
        <f aca="false">IF(OR(D49="",K49=""),"",K49-D49)</f>
        <v/>
      </c>
      <c r="M49" s="9"/>
      <c r="N49" s="9"/>
      <c r="O49" s="9"/>
      <c r="P49" s="2"/>
    </row>
    <row r="50" customFormat="false" ht="15" hidden="false" customHeight="false" outlineLevel="0" collapsed="false">
      <c r="A50" s="2" t="s">
        <v>840</v>
      </c>
      <c r="B50" s="2" t="s">
        <v>841</v>
      </c>
      <c r="C50" s="2" t="s">
        <v>838</v>
      </c>
      <c r="D50" s="8" t="n">
        <f aca="false">IFERROR(INDEX('ALL CANDIDATES'!$P$2:$P$63,MATCH($B50,'ALL CANDIDATES'!$C$2:$C$63,0)),"")</f>
        <v>0</v>
      </c>
      <c r="E50" s="20" t="n">
        <f aca="false">IFERROR(INDEX('ALL CANDIDATES'!$Q$2:$Q$63,MATCH($B50,'ALL CANDIDATES'!$C$2:$C$63,0)),"")</f>
        <v>0</v>
      </c>
      <c r="F50" s="2"/>
      <c r="G50" s="8" t="n">
        <f aca="false">IFERROR(INDEX('ALL CANDIDATES'!$AI$2:$AI$63,MATCH($B50,'ALL CANDIDATES'!$C$2:$C$63,0)),"")</f>
        <v>0</v>
      </c>
      <c r="H50" s="4" t="n">
        <f aca="false">IFERROR(INDEX('ALL CANDIDATES'!$AG$2:$AG$63,MATCH($B50,'ALL CANDIDATES'!$C$2:$C$63,0)),"")</f>
        <v>0</v>
      </c>
      <c r="I50" s="6" t="n">
        <f aca="false">IFERROR(INDEX('ALL CANDIDATES'!$AH$2:$AH$63,MATCH($B50,'ALL CANDIDATES'!$C$2:$C$63,0)),"")</f>
        <v>0</v>
      </c>
      <c r="J50" s="2" t="str">
        <f aca="false">IF(OR(D50="",G50=""),"",G50-D50)</f>
        <v/>
      </c>
      <c r="K50" s="8" t="n">
        <f aca="false">IFERROR(INDEX('ALL CANDIDATES'!$R$2:$R$63,MATCH($B50,'ALL CANDIDATES'!$C$2:$C$63,0)),"")</f>
        <v>46294</v>
      </c>
      <c r="L50" s="2" t="str">
        <f aca="false">IF(OR(D50="",K50=""),"",K50-D50)</f>
        <v/>
      </c>
      <c r="M50" s="9"/>
      <c r="N50" s="9"/>
      <c r="O50" s="9"/>
      <c r="P50" s="2"/>
    </row>
    <row r="51" customFormat="false" ht="15" hidden="false" customHeight="false" outlineLevel="0" collapsed="false">
      <c r="A51" s="2" t="s">
        <v>844</v>
      </c>
      <c r="B51" s="2" t="s">
        <v>845</v>
      </c>
      <c r="C51" s="2" t="s">
        <v>838</v>
      </c>
      <c r="D51" s="8" t="n">
        <f aca="false">IFERROR(INDEX('ALL CANDIDATES'!$P$2:$P$63,MATCH($B51,'ALL CANDIDATES'!$C$2:$C$63,0)),"")</f>
        <v>0</v>
      </c>
      <c r="E51" s="20" t="n">
        <f aca="false">IFERROR(INDEX('ALL CANDIDATES'!$Q$2:$Q$63,MATCH($B51,'ALL CANDIDATES'!$C$2:$C$63,0)),"")</f>
        <v>0</v>
      </c>
      <c r="F51" s="2"/>
      <c r="G51" s="8" t="n">
        <f aca="false">IFERROR(INDEX('ALL CANDIDATES'!$AI$2:$AI$63,MATCH($B51,'ALL CANDIDATES'!$C$2:$C$63,0)),"")</f>
        <v>0</v>
      </c>
      <c r="H51" s="4" t="n">
        <f aca="false">IFERROR(INDEX('ALL CANDIDATES'!$AG$2:$AG$63,MATCH($B51,'ALL CANDIDATES'!$C$2:$C$63,0)),"")</f>
        <v>55837</v>
      </c>
      <c r="I51" s="6" t="n">
        <f aca="false">IFERROR(INDEX('ALL CANDIDATES'!$AH$2:$AH$63,MATCH($B51,'ALL CANDIDATES'!$C$2:$C$63,0)),"")</f>
        <v>0</v>
      </c>
      <c r="J51" s="2" t="str">
        <f aca="false">IF(OR(D51="",G51=""),"",G51-D51)</f>
        <v/>
      </c>
      <c r="K51" s="8" t="n">
        <f aca="false">IFERROR(INDEX('ALL CANDIDATES'!$R$2:$R$63,MATCH($B51,'ALL CANDIDATES'!$C$2:$C$63,0)),"")</f>
        <v>46304</v>
      </c>
      <c r="L51" s="2" t="str">
        <f aca="false">IF(OR(D51="",K51=""),"",K51-D51)</f>
        <v/>
      </c>
      <c r="M51" s="9"/>
      <c r="N51" s="9"/>
      <c r="O51" s="9"/>
      <c r="P51" s="2"/>
    </row>
    <row r="52" customFormat="false" ht="15" hidden="false" customHeight="false" outlineLevel="0" collapsed="false">
      <c r="A52" s="2" t="s">
        <v>848</v>
      </c>
      <c r="B52" s="2" t="s">
        <v>849</v>
      </c>
      <c r="C52" s="2" t="s">
        <v>838</v>
      </c>
      <c r="D52" s="8" t="n">
        <f aca="false">IFERROR(INDEX('ALL CANDIDATES'!$P$2:$P$63,MATCH($B52,'ALL CANDIDATES'!$C$2:$C$63,0)),"")</f>
        <v>0</v>
      </c>
      <c r="E52" s="20" t="n">
        <f aca="false">IFERROR(INDEX('ALL CANDIDATES'!$Q$2:$Q$63,MATCH($B52,'ALL CANDIDATES'!$C$2:$C$63,0)),"")</f>
        <v>0</v>
      </c>
      <c r="F52" s="2"/>
      <c r="G52" s="8" t="n">
        <f aca="false">IFERROR(INDEX('ALL CANDIDATES'!$AI$2:$AI$63,MATCH($B52,'ALL CANDIDATES'!$C$2:$C$63,0)),"")</f>
        <v>0</v>
      </c>
      <c r="H52" s="4" t="n">
        <f aca="false">IFERROR(INDEX('ALL CANDIDATES'!$AG$2:$AG$63,MATCH($B52,'ALL CANDIDATES'!$C$2:$C$63,0)),"")</f>
        <v>14637</v>
      </c>
      <c r="I52" s="6" t="n">
        <f aca="false">IFERROR(INDEX('ALL CANDIDATES'!$AH$2:$AH$63,MATCH($B52,'ALL CANDIDATES'!$C$2:$C$63,0)),"")</f>
        <v>0</v>
      </c>
      <c r="J52" s="2" t="str">
        <f aca="false">IF(OR(D52="",G52=""),"",G52-D52)</f>
        <v/>
      </c>
      <c r="K52" s="8" t="n">
        <f aca="false">IFERROR(INDEX('ALL CANDIDATES'!$R$2:$R$63,MATCH($B52,'ALL CANDIDATES'!$C$2:$C$63,0)),"")</f>
        <v>46157</v>
      </c>
      <c r="L52" s="2" t="str">
        <f aca="false">IF(OR(D52="",K52=""),"",K52-D52)</f>
        <v/>
      </c>
      <c r="M52" s="9"/>
      <c r="N52" s="9"/>
      <c r="O52" s="9"/>
      <c r="P52" s="2"/>
    </row>
    <row r="53" customFormat="false" ht="15" hidden="false" customHeight="false" outlineLevel="0" collapsed="false">
      <c r="A53" s="2" t="s">
        <v>852</v>
      </c>
      <c r="B53" s="2" t="s">
        <v>853</v>
      </c>
      <c r="C53" s="2" t="s">
        <v>838</v>
      </c>
      <c r="D53" s="8" t="n">
        <f aca="false">IFERROR(INDEX('ALL CANDIDATES'!$P$2:$P$63,MATCH($B53,'ALL CANDIDATES'!$C$2:$C$63,0)),"")</f>
        <v>0</v>
      </c>
      <c r="E53" s="20" t="n">
        <f aca="false">IFERROR(INDEX('ALL CANDIDATES'!$Q$2:$Q$63,MATCH($B53,'ALL CANDIDATES'!$C$2:$C$63,0)),"")</f>
        <v>0</v>
      </c>
      <c r="F53" s="2"/>
      <c r="G53" s="8" t="n">
        <f aca="false">IFERROR(INDEX('ALL CANDIDATES'!$AI$2:$AI$63,MATCH($B53,'ALL CANDIDATES'!$C$2:$C$63,0)),"")</f>
        <v>0</v>
      </c>
      <c r="H53" s="4" t="n">
        <f aca="false">IFERROR(INDEX('ALL CANDIDATES'!$AG$2:$AG$63,MATCH($B53,'ALL CANDIDATES'!$C$2:$C$63,0)),"")</f>
        <v>11365</v>
      </c>
      <c r="I53" s="6" t="n">
        <f aca="false">IFERROR(INDEX('ALL CANDIDATES'!$AH$2:$AH$63,MATCH($B53,'ALL CANDIDATES'!$C$2:$C$63,0)),"")</f>
        <v>0</v>
      </c>
      <c r="J53" s="2" t="str">
        <f aca="false">IF(OR(D53="",G53=""),"",G53-D53)</f>
        <v/>
      </c>
      <c r="K53" s="8" t="n">
        <f aca="false">IFERROR(INDEX('ALL CANDIDATES'!$R$2:$R$63,MATCH($B53,'ALL CANDIDATES'!$C$2:$C$63,0)),"")</f>
        <v>46113</v>
      </c>
      <c r="L53" s="2" t="str">
        <f aca="false">IF(OR(D53="",K53=""),"",K53-D53)</f>
        <v/>
      </c>
      <c r="M53" s="9"/>
      <c r="N53" s="9"/>
      <c r="O53" s="9"/>
      <c r="P53" s="2"/>
    </row>
    <row r="54" customFormat="false" ht="15" hidden="false" customHeight="false" outlineLevel="0" collapsed="false">
      <c r="A54" s="2" t="s">
        <v>856</v>
      </c>
      <c r="B54" s="2" t="s">
        <v>857</v>
      </c>
      <c r="C54" s="2" t="s">
        <v>838</v>
      </c>
      <c r="D54" s="8" t="n">
        <f aca="false">IFERROR(INDEX('ALL CANDIDATES'!$P$2:$P$63,MATCH($B54,'ALL CANDIDATES'!$C$2:$C$63,0)),"")</f>
        <v>0</v>
      </c>
      <c r="E54" s="20" t="n">
        <f aca="false">IFERROR(INDEX('ALL CANDIDATES'!$Q$2:$Q$63,MATCH($B54,'ALL CANDIDATES'!$C$2:$C$63,0)),"")</f>
        <v>0</v>
      </c>
      <c r="F54" s="2"/>
      <c r="G54" s="8" t="n">
        <f aca="false">IFERROR(INDEX('ALL CANDIDATES'!$AI$2:$AI$63,MATCH($B54,'ALL CANDIDATES'!$C$2:$C$63,0)),"")</f>
        <v>0</v>
      </c>
      <c r="H54" s="4" t="n">
        <f aca="false">IFERROR(INDEX('ALL CANDIDATES'!$AG$2:$AG$63,MATCH($B54,'ALL CANDIDATES'!$C$2:$C$63,0)),"")</f>
        <v>27538</v>
      </c>
      <c r="I54" s="6" t="n">
        <f aca="false">IFERROR(INDEX('ALL CANDIDATES'!$AH$2:$AH$63,MATCH($B54,'ALL CANDIDATES'!$C$2:$C$63,0)),"")</f>
        <v>0</v>
      </c>
      <c r="J54" s="2" t="str">
        <f aca="false">IF(OR(D54="",G54=""),"",G54-D54)</f>
        <v/>
      </c>
      <c r="K54" s="8" t="n">
        <f aca="false">IFERROR(INDEX('ALL CANDIDATES'!$R$2:$R$63,MATCH($B54,'ALL CANDIDATES'!$C$2:$C$63,0)),"")</f>
        <v>44092</v>
      </c>
      <c r="L54" s="2" t="str">
        <f aca="false">IF(OR(D54="",K54=""),"",K54-D54)</f>
        <v/>
      </c>
      <c r="M54" s="9"/>
      <c r="N54" s="9"/>
      <c r="O54" s="9"/>
      <c r="P54" s="2"/>
    </row>
    <row r="55" customFormat="false" ht="15" hidden="false" customHeight="false" outlineLevel="0" collapsed="false">
      <c r="A55" s="2" t="s">
        <v>860</v>
      </c>
      <c r="B55" s="2" t="s">
        <v>861</v>
      </c>
      <c r="C55" s="2" t="s">
        <v>838</v>
      </c>
      <c r="D55" s="8" t="n">
        <f aca="false">IFERROR(INDEX('ALL CANDIDATES'!$P$2:$P$63,MATCH($B55,'ALL CANDIDATES'!$C$2:$C$63,0)),"")</f>
        <v>0</v>
      </c>
      <c r="E55" s="20" t="n">
        <f aca="false">IFERROR(INDEX('ALL CANDIDATES'!$Q$2:$Q$63,MATCH($B55,'ALL CANDIDATES'!$C$2:$C$63,0)),"")</f>
        <v>0</v>
      </c>
      <c r="F55" s="2"/>
      <c r="G55" s="8" t="n">
        <f aca="false">IFERROR(INDEX('ALL CANDIDATES'!$AI$2:$AI$63,MATCH($B55,'ALL CANDIDATES'!$C$2:$C$63,0)),"")</f>
        <v>0</v>
      </c>
      <c r="H55" s="4" t="n">
        <f aca="false">IFERROR(INDEX('ALL CANDIDATES'!$AG$2:$AG$63,MATCH($B55,'ALL CANDIDATES'!$C$2:$C$63,0)),"")</f>
        <v>43545</v>
      </c>
      <c r="I55" s="6" t="n">
        <f aca="false">IFERROR(INDEX('ALL CANDIDATES'!$AH$2:$AH$63,MATCH($B55,'ALL CANDIDATES'!$C$2:$C$63,0)),"")</f>
        <v>0</v>
      </c>
      <c r="J55" s="2" t="str">
        <f aca="false">IF(OR(D55="",G55=""),"",G55-D55)</f>
        <v/>
      </c>
      <c r="K55" s="8" t="n">
        <f aca="false">IFERROR(INDEX('ALL CANDIDATES'!$R$2:$R$63,MATCH($B55,'ALL CANDIDATES'!$C$2:$C$63,0)),"")</f>
        <v>44095</v>
      </c>
      <c r="L55" s="2" t="str">
        <f aca="false">IF(OR(D55="",K55=""),"",K55-D55)</f>
        <v/>
      </c>
      <c r="M55" s="9"/>
      <c r="N55" s="9"/>
      <c r="O55" s="9"/>
      <c r="P55" s="2"/>
    </row>
    <row r="56" customFormat="false" ht="15" hidden="false" customHeight="false" outlineLevel="0" collapsed="false">
      <c r="A56" s="2" t="s">
        <v>864</v>
      </c>
      <c r="B56" s="2" t="s">
        <v>865</v>
      </c>
      <c r="C56" s="2" t="s">
        <v>838</v>
      </c>
      <c r="D56" s="8" t="n">
        <f aca="false">IFERROR(INDEX('ALL CANDIDATES'!$P$2:$P$63,MATCH($B56,'ALL CANDIDATES'!$C$2:$C$63,0)),"")</f>
        <v>0</v>
      </c>
      <c r="E56" s="20" t="n">
        <f aca="false">IFERROR(INDEX('ALL CANDIDATES'!$Q$2:$Q$63,MATCH($B56,'ALL CANDIDATES'!$C$2:$C$63,0)),"")</f>
        <v>0</v>
      </c>
      <c r="F56" s="2"/>
      <c r="G56" s="8" t="n">
        <f aca="false">IFERROR(INDEX('ALL CANDIDATES'!$AI$2:$AI$63,MATCH($B56,'ALL CANDIDATES'!$C$2:$C$63,0)),"")</f>
        <v>0</v>
      </c>
      <c r="H56" s="4" t="n">
        <f aca="false">IFERROR(INDEX('ALL CANDIDATES'!$AG$2:$AG$63,MATCH($B56,'ALL CANDIDATES'!$C$2:$C$63,0)),"")</f>
        <v>0</v>
      </c>
      <c r="I56" s="6" t="n">
        <f aca="false">IFERROR(INDEX('ALL CANDIDATES'!$AH$2:$AH$63,MATCH($B56,'ALL CANDIDATES'!$C$2:$C$63,0)),"")</f>
        <v>0</v>
      </c>
      <c r="J56" s="2" t="str">
        <f aca="false">IF(OR(D56="",G56=""),"",G56-D56)</f>
        <v/>
      </c>
      <c r="K56" s="8" t="n">
        <f aca="false">IFERROR(INDEX('ALL CANDIDATES'!$R$2:$R$63,MATCH($B56,'ALL CANDIDATES'!$C$2:$C$63,0)),"")</f>
        <v>0</v>
      </c>
      <c r="L56" s="2" t="str">
        <f aca="false">IF(OR(D56="",K56=""),"",K56-D56)</f>
        <v/>
      </c>
      <c r="M56" s="9"/>
      <c r="N56" s="9"/>
      <c r="O56" s="9"/>
      <c r="P56" s="2"/>
    </row>
    <row r="57" customFormat="false" ht="15" hidden="false" customHeight="false" outlineLevel="0" collapsed="false">
      <c r="A57" s="2" t="s">
        <v>868</v>
      </c>
      <c r="B57" s="2" t="s">
        <v>869</v>
      </c>
      <c r="C57" s="2" t="s">
        <v>838</v>
      </c>
      <c r="D57" s="8" t="n">
        <f aca="false">IFERROR(INDEX('ALL CANDIDATES'!$P$2:$P$63,MATCH($B57,'ALL CANDIDATES'!$C$2:$C$63,0)),"")</f>
        <v>0</v>
      </c>
      <c r="E57" s="20" t="n">
        <f aca="false">IFERROR(INDEX('ALL CANDIDATES'!$Q$2:$Q$63,MATCH($B57,'ALL CANDIDATES'!$C$2:$C$63,0)),"")</f>
        <v>0</v>
      </c>
      <c r="F57" s="2"/>
      <c r="G57" s="8" t="n">
        <f aca="false">IFERROR(INDEX('ALL CANDIDATES'!$AI$2:$AI$63,MATCH($B57,'ALL CANDIDATES'!$C$2:$C$63,0)),"")</f>
        <v>0</v>
      </c>
      <c r="H57" s="4" t="n">
        <f aca="false">IFERROR(INDEX('ALL CANDIDATES'!$AG$2:$AG$63,MATCH($B57,'ALL CANDIDATES'!$C$2:$C$63,0)),"")</f>
        <v>0</v>
      </c>
      <c r="I57" s="6" t="n">
        <f aca="false">IFERROR(INDEX('ALL CANDIDATES'!$AH$2:$AH$63,MATCH($B57,'ALL CANDIDATES'!$C$2:$C$63,0)),"")</f>
        <v>0</v>
      </c>
      <c r="J57" s="2" t="str">
        <f aca="false">IF(OR(D57="",G57=""),"",G57-D57)</f>
        <v/>
      </c>
      <c r="K57" s="8" t="n">
        <f aca="false">IFERROR(INDEX('ALL CANDIDATES'!$R$2:$R$63,MATCH($B57,'ALL CANDIDATES'!$C$2:$C$63,0)),"")</f>
        <v>0</v>
      </c>
      <c r="L57" s="2" t="str">
        <f aca="false">IF(OR(D57="",K57=""),"",K57-D57)</f>
        <v/>
      </c>
      <c r="M57" s="9"/>
      <c r="N57" s="9"/>
      <c r="O57" s="9"/>
      <c r="P57" s="2"/>
    </row>
    <row r="58" customFormat="false" ht="15" hidden="false" customHeight="false" outlineLevel="0" collapsed="false">
      <c r="A58" s="2" t="s">
        <v>872</v>
      </c>
      <c r="B58" s="2" t="s">
        <v>873</v>
      </c>
      <c r="C58" s="2" t="s">
        <v>838</v>
      </c>
      <c r="D58" s="8" t="n">
        <f aca="false">IFERROR(INDEX('ALL CANDIDATES'!$P$2:$P$63,MATCH($B58,'ALL CANDIDATES'!$C$2:$C$63,0)),"")</f>
        <v>0</v>
      </c>
      <c r="E58" s="20" t="n">
        <f aca="false">IFERROR(INDEX('ALL CANDIDATES'!$Q$2:$Q$63,MATCH($B58,'ALL CANDIDATES'!$C$2:$C$63,0)),"")</f>
        <v>0</v>
      </c>
      <c r="F58" s="2"/>
      <c r="G58" s="8" t="n">
        <f aca="false">IFERROR(INDEX('ALL CANDIDATES'!$AI$2:$AI$63,MATCH($B58,'ALL CANDIDATES'!$C$2:$C$63,0)),"")</f>
        <v>0</v>
      </c>
      <c r="H58" s="4" t="n">
        <f aca="false">IFERROR(INDEX('ALL CANDIDATES'!$AG$2:$AG$63,MATCH($B58,'ALL CANDIDATES'!$C$2:$C$63,0)),"")</f>
        <v>0</v>
      </c>
      <c r="I58" s="6" t="n">
        <f aca="false">IFERROR(INDEX('ALL CANDIDATES'!$AH$2:$AH$63,MATCH($B58,'ALL CANDIDATES'!$C$2:$C$63,0)),"")</f>
        <v>0</v>
      </c>
      <c r="J58" s="2" t="str">
        <f aca="false">IF(OR(D58="",G58=""),"",G58-D58)</f>
        <v/>
      </c>
      <c r="K58" s="8" t="n">
        <f aca="false">IFERROR(INDEX('ALL CANDIDATES'!$R$2:$R$63,MATCH($B58,'ALL CANDIDATES'!$C$2:$C$63,0)),"")</f>
        <v>0</v>
      </c>
      <c r="L58" s="2" t="str">
        <f aca="false">IF(OR(D58="",K58=""),"",K58-D58)</f>
        <v/>
      </c>
      <c r="M58" s="9"/>
      <c r="N58" s="9"/>
      <c r="O58" s="9"/>
      <c r="P58" s="2"/>
    </row>
    <row r="59" customFormat="false" ht="15" hidden="false" customHeight="false" outlineLevel="0" collapsed="false">
      <c r="A59" s="2" t="s">
        <v>876</v>
      </c>
      <c r="B59" s="2" t="s">
        <v>877</v>
      </c>
      <c r="C59" s="2" t="s">
        <v>838</v>
      </c>
      <c r="D59" s="8" t="n">
        <f aca="false">IFERROR(INDEX('ALL CANDIDATES'!$P$2:$P$63,MATCH($B59,'ALL CANDIDATES'!$C$2:$C$63,0)),"")</f>
        <v>0</v>
      </c>
      <c r="E59" s="20" t="n">
        <f aca="false">IFERROR(INDEX('ALL CANDIDATES'!$Q$2:$Q$63,MATCH($B59,'ALL CANDIDATES'!$C$2:$C$63,0)),"")</f>
        <v>0</v>
      </c>
      <c r="F59" s="2"/>
      <c r="G59" s="8" t="n">
        <f aca="false">IFERROR(INDEX('ALL CANDIDATES'!$AI$2:$AI$63,MATCH($B59,'ALL CANDIDATES'!$C$2:$C$63,0)),"")</f>
        <v>0</v>
      </c>
      <c r="H59" s="4" t="n">
        <f aca="false">IFERROR(INDEX('ALL CANDIDATES'!$AG$2:$AG$63,MATCH($B59,'ALL CANDIDATES'!$C$2:$C$63,0)),"")</f>
        <v>0</v>
      </c>
      <c r="I59" s="6" t="n">
        <f aca="false">IFERROR(INDEX('ALL CANDIDATES'!$AH$2:$AH$63,MATCH($B59,'ALL CANDIDATES'!$C$2:$C$63,0)),"")</f>
        <v>0</v>
      </c>
      <c r="J59" s="2" t="str">
        <f aca="false">IF(OR(D59="",G59=""),"",G59-D59)</f>
        <v/>
      </c>
      <c r="K59" s="8" t="n">
        <f aca="false">IFERROR(INDEX('ALL CANDIDATES'!$R$2:$R$63,MATCH($B59,'ALL CANDIDATES'!$C$2:$C$63,0)),"")</f>
        <v>0</v>
      </c>
      <c r="L59" s="2" t="str">
        <f aca="false">IF(OR(D59="",K59=""),"",K59-D59)</f>
        <v/>
      </c>
      <c r="M59" s="9"/>
      <c r="N59" s="9"/>
      <c r="O59" s="9"/>
      <c r="P59" s="2"/>
    </row>
    <row r="60" customFormat="false" ht="15" hidden="false" customHeight="false" outlineLevel="0" collapsed="false">
      <c r="A60" s="2" t="s">
        <v>880</v>
      </c>
      <c r="B60" s="2" t="s">
        <v>881</v>
      </c>
      <c r="C60" s="2" t="s">
        <v>838</v>
      </c>
      <c r="D60" s="8" t="n">
        <f aca="false">IFERROR(INDEX('ALL CANDIDATES'!$P$2:$P$63,MATCH($B60,'ALL CANDIDATES'!$C$2:$C$63,0)),"")</f>
        <v>0</v>
      </c>
      <c r="E60" s="20" t="n">
        <f aca="false">IFERROR(INDEX('ALL CANDIDATES'!$Q$2:$Q$63,MATCH($B60,'ALL CANDIDATES'!$C$2:$C$63,0)),"")</f>
        <v>0</v>
      </c>
      <c r="F60" s="2"/>
      <c r="G60" s="8" t="n">
        <f aca="false">IFERROR(INDEX('ALL CANDIDATES'!$AI$2:$AI$63,MATCH($B60,'ALL CANDIDATES'!$C$2:$C$63,0)),"")</f>
        <v>0</v>
      </c>
      <c r="H60" s="4" t="n">
        <f aca="false">IFERROR(INDEX('ALL CANDIDATES'!$AG$2:$AG$63,MATCH($B60,'ALL CANDIDATES'!$C$2:$C$63,0)),"")</f>
        <v>0</v>
      </c>
      <c r="I60" s="6" t="n">
        <f aca="false">IFERROR(INDEX('ALL CANDIDATES'!$AH$2:$AH$63,MATCH($B60,'ALL CANDIDATES'!$C$2:$C$63,0)),"")</f>
        <v>0</v>
      </c>
      <c r="J60" s="2" t="str">
        <f aca="false">IF(OR(D60="",G60=""),"",G60-D60)</f>
        <v/>
      </c>
      <c r="K60" s="8" t="n">
        <f aca="false">IFERROR(INDEX('ALL CANDIDATES'!$R$2:$R$63,MATCH($B60,'ALL CANDIDATES'!$C$2:$C$63,0)),"")</f>
        <v>0</v>
      </c>
      <c r="L60" s="2" t="str">
        <f aca="false">IF(OR(D60="",K60=""),"",K60-D60)</f>
        <v/>
      </c>
      <c r="M60" s="9"/>
      <c r="N60" s="9"/>
      <c r="O60" s="9"/>
      <c r="P60" s="2"/>
    </row>
    <row r="61" customFormat="false" ht="15" hidden="false" customHeight="false" outlineLevel="0" collapsed="false">
      <c r="A61" s="2" t="s">
        <v>884</v>
      </c>
      <c r="B61" s="2" t="s">
        <v>885</v>
      </c>
      <c r="C61" s="2" t="s">
        <v>838</v>
      </c>
      <c r="D61" s="8" t="n">
        <f aca="false">IFERROR(INDEX('ALL CANDIDATES'!$P$2:$P$63,MATCH($B61,'ALL CANDIDATES'!$C$2:$C$63,0)),"")</f>
        <v>0</v>
      </c>
      <c r="E61" s="20" t="n">
        <f aca="false">IFERROR(INDEX('ALL CANDIDATES'!$Q$2:$Q$63,MATCH($B61,'ALL CANDIDATES'!$C$2:$C$63,0)),"")</f>
        <v>0</v>
      </c>
      <c r="F61" s="2"/>
      <c r="G61" s="8" t="n">
        <f aca="false">IFERROR(INDEX('ALL CANDIDATES'!$AI$2:$AI$63,MATCH($B61,'ALL CANDIDATES'!$C$2:$C$63,0)),"")</f>
        <v>0</v>
      </c>
      <c r="H61" s="4" t="n">
        <f aca="false">IFERROR(INDEX('ALL CANDIDATES'!$AG$2:$AG$63,MATCH($B61,'ALL CANDIDATES'!$C$2:$C$63,0)),"")</f>
        <v>0</v>
      </c>
      <c r="I61" s="6" t="n">
        <f aca="false">IFERROR(INDEX('ALL CANDIDATES'!$AH$2:$AH$63,MATCH($B61,'ALL CANDIDATES'!$C$2:$C$63,0)),"")</f>
        <v>0</v>
      </c>
      <c r="J61" s="2" t="str">
        <f aca="false">IF(OR(D61="",G61=""),"",G61-D61)</f>
        <v/>
      </c>
      <c r="K61" s="8" t="n">
        <f aca="false">IFERROR(INDEX('ALL CANDIDATES'!$R$2:$R$63,MATCH($B61,'ALL CANDIDATES'!$C$2:$C$63,0)),"")</f>
        <v>0</v>
      </c>
      <c r="L61" s="2" t="str">
        <f aca="false">IF(OR(D61="",K61=""),"",K61-D61)</f>
        <v/>
      </c>
      <c r="M61" s="9"/>
      <c r="N61" s="9"/>
      <c r="O61" s="9"/>
      <c r="P61" s="2"/>
    </row>
    <row r="62" customFormat="false" ht="15" hidden="false" customHeight="false" outlineLevel="0" collapsed="false">
      <c r="A62" s="2" t="s">
        <v>888</v>
      </c>
      <c r="B62" s="2" t="s">
        <v>889</v>
      </c>
      <c r="C62" s="2" t="s">
        <v>838</v>
      </c>
      <c r="D62" s="8" t="n">
        <f aca="false">IFERROR(INDEX('ALL CANDIDATES'!$P$2:$P$63,MATCH($B62,'ALL CANDIDATES'!$C$2:$C$63,0)),"")</f>
        <v>0</v>
      </c>
      <c r="E62" s="20" t="n">
        <f aca="false">IFERROR(INDEX('ALL CANDIDATES'!$Q$2:$Q$63,MATCH($B62,'ALL CANDIDATES'!$C$2:$C$63,0)),"")</f>
        <v>0</v>
      </c>
      <c r="F62" s="2"/>
      <c r="G62" s="8" t="n">
        <f aca="false">IFERROR(INDEX('ALL CANDIDATES'!$AI$2:$AI$63,MATCH($B62,'ALL CANDIDATES'!$C$2:$C$63,0)),"")</f>
        <v>0</v>
      </c>
      <c r="H62" s="4" t="n">
        <f aca="false">IFERROR(INDEX('ALL CANDIDATES'!$AG$2:$AG$63,MATCH($B62,'ALL CANDIDATES'!$C$2:$C$63,0)),"")</f>
        <v>0</v>
      </c>
      <c r="I62" s="6" t="n">
        <f aca="false">IFERROR(INDEX('ALL CANDIDATES'!$AH$2:$AH$63,MATCH($B62,'ALL CANDIDATES'!$C$2:$C$63,0)),"")</f>
        <v>0</v>
      </c>
      <c r="J62" s="2" t="str">
        <f aca="false">IF(OR(D62="",G62=""),"",G62-D62)</f>
        <v/>
      </c>
      <c r="K62" s="8" t="n">
        <f aca="false">IFERROR(INDEX('ALL CANDIDATES'!$R$2:$R$63,MATCH($B62,'ALL CANDIDATES'!$C$2:$C$63,0)),"")</f>
        <v>0</v>
      </c>
      <c r="L62" s="2" t="str">
        <f aca="false">IF(OR(D62="",K62=""),"",K62-D62)</f>
        <v/>
      </c>
      <c r="M62" s="9"/>
      <c r="N62" s="9"/>
      <c r="O62" s="9"/>
      <c r="P62" s="2"/>
    </row>
    <row r="63" customFormat="false" ht="15" hidden="false" customHeight="false" outlineLevel="0" collapsed="false">
      <c r="A63" s="2" t="s">
        <v>892</v>
      </c>
      <c r="B63" s="2" t="s">
        <v>893</v>
      </c>
      <c r="C63" s="2" t="s">
        <v>838</v>
      </c>
      <c r="D63" s="8" t="n">
        <f aca="false">IFERROR(INDEX('ALL CANDIDATES'!$P$2:$P$63,MATCH($B63,'ALL CANDIDATES'!$C$2:$C$63,0)),"")</f>
        <v>0</v>
      </c>
      <c r="E63" s="20" t="n">
        <f aca="false">IFERROR(INDEX('ALL CANDIDATES'!$Q$2:$Q$63,MATCH($B63,'ALL CANDIDATES'!$C$2:$C$63,0)),"")</f>
        <v>0</v>
      </c>
      <c r="F63" s="2"/>
      <c r="G63" s="8" t="n">
        <f aca="false">IFERROR(INDEX('ALL CANDIDATES'!$AI$2:$AI$63,MATCH($B63,'ALL CANDIDATES'!$C$2:$C$63,0)),"")</f>
        <v>0</v>
      </c>
      <c r="H63" s="4" t="n">
        <f aca="false">IFERROR(INDEX('ALL CANDIDATES'!$AG$2:$AG$63,MATCH($B63,'ALL CANDIDATES'!$C$2:$C$63,0)),"")</f>
        <v>0</v>
      </c>
      <c r="I63" s="6" t="n">
        <f aca="false">IFERROR(INDEX('ALL CANDIDATES'!$AH$2:$AH$63,MATCH($B63,'ALL CANDIDATES'!$C$2:$C$63,0)),"")</f>
        <v>0</v>
      </c>
      <c r="J63" s="2" t="str">
        <f aca="false">IF(OR(D63="",G63=""),"",G63-D63)</f>
        <v/>
      </c>
      <c r="K63" s="8" t="n">
        <f aca="false">IFERROR(INDEX('ALL CANDIDATES'!$R$2:$R$63,MATCH($B63,'ALL CANDIDATES'!$C$2:$C$63,0)),"")</f>
        <v>0</v>
      </c>
      <c r="L63" s="2" t="str">
        <f aca="false">IF(OR(D63="",K63=""),"",K63-D63)</f>
        <v/>
      </c>
      <c r="M63" s="9"/>
      <c r="N63" s="9"/>
      <c r="O63" s="9"/>
      <c r="P63" s="2"/>
    </row>
  </sheetData>
  <hyperlinks>
    <hyperlink ref="F2" r:id="rId1" display="https://www.instagram.com/p/DdZ3IkKiiXx/"/>
    <hyperlink ref="F3" r:id="rId2" display="https://www.instagram.com/p/DdzqxONPLaG/"/>
    <hyperlink ref="F5" r:id="rId3" display="https://www.instagram.com/p/Ddhr_xBsuRK/"/>
    <hyperlink ref="F6" r:id="rId4" display="https://www.instagram.com/p/DduMth6NxfU/"/>
    <hyperlink ref="F7" r:id="rId5" display="https://www.instagram.com/p/DdwN0y8t_Xg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10" min="9" style="0" width="13"/>
    <col collapsed="false" customWidth="true" hidden="false" outlineLevel="0" max="11" min="11" style="0" width="90"/>
  </cols>
  <sheetData>
    <row r="1" customFormat="false" ht="42" hidden="false" customHeight="true" outlineLevel="0" collapsed="false">
      <c r="A1" s="1" t="s">
        <v>199</v>
      </c>
      <c r="B1" s="1" t="s">
        <v>200</v>
      </c>
      <c r="C1" s="1" t="s">
        <v>202</v>
      </c>
      <c r="D1" s="1" t="s">
        <v>203</v>
      </c>
      <c r="E1" s="1" t="s">
        <v>1152</v>
      </c>
      <c r="F1" s="1" t="s">
        <v>32</v>
      </c>
      <c r="G1" s="1" t="s">
        <v>1153</v>
      </c>
      <c r="H1" s="1" t="s">
        <v>1154</v>
      </c>
      <c r="I1" s="1" t="s">
        <v>1155</v>
      </c>
      <c r="J1" s="1" t="s">
        <v>1156</v>
      </c>
      <c r="K1" s="1" t="s">
        <v>1157</v>
      </c>
    </row>
    <row r="2" customFormat="false" ht="35.05" hidden="false" customHeight="false" outlineLevel="0" collapsed="false">
      <c r="A2" s="2" t="s">
        <v>36</v>
      </c>
      <c r="B2" s="2" t="s">
        <v>37</v>
      </c>
      <c r="C2" s="2" t="s">
        <v>274</v>
      </c>
      <c r="D2" s="2" t="s">
        <v>275</v>
      </c>
      <c r="E2" s="14" t="s">
        <v>1158</v>
      </c>
      <c r="F2" s="14" t="s">
        <v>1158</v>
      </c>
      <c r="G2" s="14" t="s">
        <v>1158</v>
      </c>
      <c r="H2" s="14" t="s">
        <v>1158</v>
      </c>
      <c r="I2" s="14" t="s">
        <v>1158</v>
      </c>
      <c r="J2" s="15" t="n">
        <f aca="false">(COUNTIF(E2:I2,"YES")+0.5*COUNTIF(E2:I2,"PARTIAL"))/5</f>
        <v>1</v>
      </c>
      <c r="K2" s="9" t="s">
        <v>1159</v>
      </c>
    </row>
    <row r="3" customFormat="false" ht="35.05" hidden="false" customHeight="false" outlineLevel="0" collapsed="false">
      <c r="A3" s="2" t="s">
        <v>60</v>
      </c>
      <c r="B3" s="2" t="s">
        <v>61</v>
      </c>
      <c r="C3" s="2" t="s">
        <v>274</v>
      </c>
      <c r="D3" s="2" t="s">
        <v>275</v>
      </c>
      <c r="E3" s="14" t="s">
        <v>1160</v>
      </c>
      <c r="F3" s="14" t="s">
        <v>1158</v>
      </c>
      <c r="G3" s="14" t="s">
        <v>1158</v>
      </c>
      <c r="H3" s="14" t="s">
        <v>1158</v>
      </c>
      <c r="I3" s="14" t="s">
        <v>1161</v>
      </c>
      <c r="J3" s="15" t="n">
        <f aca="false">(COUNTIF(E3:I3,"YES")+0.5*COUNTIF(E3:I3,"PARTIAL"))/5</f>
        <v>0.7</v>
      </c>
      <c r="K3" s="9" t="s">
        <v>1162</v>
      </c>
    </row>
    <row r="4" customFormat="false" ht="35.05" hidden="false" customHeight="false" outlineLevel="0" collapsed="false">
      <c r="A4" s="2" t="s">
        <v>84</v>
      </c>
      <c r="B4" s="2" t="s">
        <v>85</v>
      </c>
      <c r="C4" s="2" t="s">
        <v>274</v>
      </c>
      <c r="D4" s="2" t="s">
        <v>275</v>
      </c>
      <c r="E4" s="14" t="s">
        <v>1160</v>
      </c>
      <c r="F4" s="14" t="s">
        <v>1158</v>
      </c>
      <c r="G4" s="14" t="s">
        <v>1158</v>
      </c>
      <c r="H4" s="14" t="s">
        <v>1158</v>
      </c>
      <c r="I4" s="14" t="s">
        <v>1160</v>
      </c>
      <c r="J4" s="15" t="n">
        <f aca="false">(COUNTIF(E4:I4,"YES")+0.5*COUNTIF(E4:I4,"PARTIAL"))/5</f>
        <v>0.8</v>
      </c>
      <c r="K4" s="9" t="s">
        <v>1163</v>
      </c>
    </row>
    <row r="5" customFormat="false" ht="35.05" hidden="false" customHeight="false" outlineLevel="0" collapsed="false">
      <c r="A5" s="2" t="s">
        <v>107</v>
      </c>
      <c r="B5" s="2" t="s">
        <v>108</v>
      </c>
      <c r="C5" s="2" t="s">
        <v>274</v>
      </c>
      <c r="D5" s="2" t="s">
        <v>275</v>
      </c>
      <c r="E5" s="14" t="s">
        <v>1158</v>
      </c>
      <c r="F5" s="14" t="s">
        <v>1158</v>
      </c>
      <c r="G5" s="14" t="s">
        <v>1158</v>
      </c>
      <c r="H5" s="14" t="s">
        <v>1158</v>
      </c>
      <c r="I5" s="14" t="s">
        <v>1158</v>
      </c>
      <c r="J5" s="15" t="n">
        <f aca="false">(COUNTIF(E5:I5,"YES")+0.5*COUNTIF(E5:I5,"PARTIAL"))/5</f>
        <v>1</v>
      </c>
      <c r="K5" s="9" t="s">
        <v>1159</v>
      </c>
    </row>
    <row r="6" customFormat="false" ht="35.05" hidden="false" customHeight="false" outlineLevel="0" collapsed="false">
      <c r="A6" s="2" t="s">
        <v>130</v>
      </c>
      <c r="B6" s="2" t="s">
        <v>131</v>
      </c>
      <c r="C6" s="2" t="s">
        <v>274</v>
      </c>
      <c r="D6" s="2" t="s">
        <v>275</v>
      </c>
      <c r="E6" s="14" t="s">
        <v>1158</v>
      </c>
      <c r="F6" s="14" t="s">
        <v>1158</v>
      </c>
      <c r="G6" s="14" t="s">
        <v>1158</v>
      </c>
      <c r="H6" s="14" t="s">
        <v>1158</v>
      </c>
      <c r="I6" s="14" t="s">
        <v>1160</v>
      </c>
      <c r="J6" s="15" t="n">
        <f aca="false">(COUNTIF(E6:I6,"YES")+0.5*COUNTIF(E6:I6,"PARTIAL"))/5</f>
        <v>0.9</v>
      </c>
      <c r="K6" s="9" t="s">
        <v>1164</v>
      </c>
    </row>
    <row r="7" customFormat="false" ht="35.05" hidden="false" customHeight="false" outlineLevel="0" collapsed="false">
      <c r="A7" s="2" t="s">
        <v>152</v>
      </c>
      <c r="B7" s="2" t="s">
        <v>153</v>
      </c>
      <c r="C7" s="2" t="s">
        <v>274</v>
      </c>
      <c r="D7" s="2" t="s">
        <v>275</v>
      </c>
      <c r="E7" s="14" t="s">
        <v>1160</v>
      </c>
      <c r="F7" s="14" t="s">
        <v>1160</v>
      </c>
      <c r="G7" s="14" t="s">
        <v>1158</v>
      </c>
      <c r="H7" s="14" t="s">
        <v>1158</v>
      </c>
      <c r="I7" s="14" t="s">
        <v>1160</v>
      </c>
      <c r="J7" s="15" t="n">
        <f aca="false">(COUNTIF(E7:I7,"YES")+0.5*COUNTIF(E7:I7,"PARTIAL"))/5</f>
        <v>0.7</v>
      </c>
      <c r="K7" s="9" t="s">
        <v>1165</v>
      </c>
    </row>
    <row r="8" customFormat="false" ht="35.05" hidden="false" customHeight="false" outlineLevel="0" collapsed="false">
      <c r="A8" s="2" t="s">
        <v>175</v>
      </c>
      <c r="B8" s="2" t="s">
        <v>176</v>
      </c>
      <c r="C8" s="2" t="s">
        <v>274</v>
      </c>
      <c r="D8" s="2" t="s">
        <v>275</v>
      </c>
      <c r="E8" s="14" t="s">
        <v>1160</v>
      </c>
      <c r="F8" s="14" t="s">
        <v>1158</v>
      </c>
      <c r="G8" s="14" t="s">
        <v>1158</v>
      </c>
      <c r="H8" s="14" t="s">
        <v>1158</v>
      </c>
      <c r="I8" s="14" t="s">
        <v>1161</v>
      </c>
      <c r="J8" s="15" t="n">
        <f aca="false">(COUNTIF(E8:I8,"YES")+0.5*COUNTIF(E8:I8,"PARTIAL"))/5</f>
        <v>0.7</v>
      </c>
      <c r="K8" s="9" t="s">
        <v>1162</v>
      </c>
    </row>
    <row r="9" customFormat="false" ht="35.05" hidden="false" customHeight="false" outlineLevel="0" collapsed="false">
      <c r="A9" s="2" t="s">
        <v>347</v>
      </c>
      <c r="B9" s="2" t="s">
        <v>348</v>
      </c>
      <c r="C9" s="2" t="s">
        <v>350</v>
      </c>
      <c r="D9" s="2" t="s">
        <v>275</v>
      </c>
      <c r="E9" s="14" t="s">
        <v>1158</v>
      </c>
      <c r="F9" s="14" t="s">
        <v>1160</v>
      </c>
      <c r="G9" s="14" t="s">
        <v>1158</v>
      </c>
      <c r="H9" s="14" t="s">
        <v>1160</v>
      </c>
      <c r="I9" s="14" t="s">
        <v>1158</v>
      </c>
      <c r="J9" s="15" t="n">
        <f aca="false">(COUNTIF(E9:I9,"YES")+0.5*COUNTIF(E9:I9,"PARTIAL"))/5</f>
        <v>0.8</v>
      </c>
      <c r="K9" s="9" t="s">
        <v>1166</v>
      </c>
    </row>
    <row r="10" customFormat="false" ht="35.05" hidden="false" customHeight="false" outlineLevel="0" collapsed="false">
      <c r="A10" s="2" t="s">
        <v>367</v>
      </c>
      <c r="B10" s="2" t="s">
        <v>368</v>
      </c>
      <c r="C10" s="2" t="s">
        <v>350</v>
      </c>
      <c r="D10" s="2" t="s">
        <v>275</v>
      </c>
      <c r="E10" s="14" t="s">
        <v>1158</v>
      </c>
      <c r="F10" s="14" t="s">
        <v>1158</v>
      </c>
      <c r="G10" s="14" t="s">
        <v>1158</v>
      </c>
      <c r="H10" s="14" t="s">
        <v>1160</v>
      </c>
      <c r="I10" s="14" t="s">
        <v>1158</v>
      </c>
      <c r="J10" s="15" t="n">
        <f aca="false">(COUNTIF(E10:I10,"YES")+0.5*COUNTIF(E10:I10,"PARTIAL"))/5</f>
        <v>0.9</v>
      </c>
      <c r="K10" s="9" t="s">
        <v>1167</v>
      </c>
    </row>
    <row r="11" customFormat="false" ht="35.05" hidden="false" customHeight="false" outlineLevel="0" collapsed="false">
      <c r="A11" s="2" t="s">
        <v>384</v>
      </c>
      <c r="B11" s="2" t="s">
        <v>385</v>
      </c>
      <c r="C11" s="2" t="s">
        <v>350</v>
      </c>
      <c r="D11" s="2" t="s">
        <v>275</v>
      </c>
      <c r="E11" s="14" t="s">
        <v>1160</v>
      </c>
      <c r="F11" s="14" t="s">
        <v>1158</v>
      </c>
      <c r="G11" s="14" t="s">
        <v>1158</v>
      </c>
      <c r="H11" s="14" t="s">
        <v>1160</v>
      </c>
      <c r="I11" s="14" t="s">
        <v>1158</v>
      </c>
      <c r="J11" s="15" t="n">
        <f aca="false">(COUNTIF(E11:I11,"YES")+0.5*COUNTIF(E11:I11,"PARTIAL"))/5</f>
        <v>0.8</v>
      </c>
      <c r="K11" s="9" t="s">
        <v>1168</v>
      </c>
    </row>
    <row r="12" customFormat="false" ht="35.05" hidden="false" customHeight="false" outlineLevel="0" collapsed="false">
      <c r="A12" s="2" t="s">
        <v>399</v>
      </c>
      <c r="B12" s="2" t="s">
        <v>400</v>
      </c>
      <c r="C12" s="2" t="s">
        <v>350</v>
      </c>
      <c r="D12" s="2" t="s">
        <v>275</v>
      </c>
      <c r="E12" s="14" t="s">
        <v>1158</v>
      </c>
      <c r="F12" s="14" t="s">
        <v>1158</v>
      </c>
      <c r="G12" s="14" t="s">
        <v>1158</v>
      </c>
      <c r="H12" s="14" t="s">
        <v>1160</v>
      </c>
      <c r="I12" s="14" t="s">
        <v>1158</v>
      </c>
      <c r="J12" s="15" t="n">
        <f aca="false">(COUNTIF(E12:I12,"YES")+0.5*COUNTIF(E12:I12,"PARTIAL"))/5</f>
        <v>0.9</v>
      </c>
      <c r="K12" s="9" t="s">
        <v>1167</v>
      </c>
    </row>
    <row r="13" customFormat="false" ht="35.05" hidden="false" customHeight="false" outlineLevel="0" collapsed="false">
      <c r="A13" s="2" t="s">
        <v>414</v>
      </c>
      <c r="B13" s="2" t="s">
        <v>415</v>
      </c>
      <c r="C13" s="2" t="s">
        <v>350</v>
      </c>
      <c r="D13" s="2" t="s">
        <v>275</v>
      </c>
      <c r="E13" s="14" t="s">
        <v>1160</v>
      </c>
      <c r="F13" s="14" t="s">
        <v>1158</v>
      </c>
      <c r="G13" s="14" t="s">
        <v>1158</v>
      </c>
      <c r="H13" s="14" t="s">
        <v>1160</v>
      </c>
      <c r="I13" s="14" t="s">
        <v>1158</v>
      </c>
      <c r="J13" s="15" t="n">
        <f aca="false">(COUNTIF(E13:I13,"YES")+0.5*COUNTIF(E13:I13,"PARTIAL"))/5</f>
        <v>0.8</v>
      </c>
      <c r="K13" s="9" t="s">
        <v>1168</v>
      </c>
    </row>
    <row r="14" customFormat="false" ht="35.05" hidden="false" customHeight="false" outlineLevel="0" collapsed="false">
      <c r="A14" s="2" t="s">
        <v>427</v>
      </c>
      <c r="B14" s="2" t="s">
        <v>428</v>
      </c>
      <c r="C14" s="2" t="s">
        <v>350</v>
      </c>
      <c r="D14" s="2" t="s">
        <v>275</v>
      </c>
      <c r="E14" s="14" t="s">
        <v>1158</v>
      </c>
      <c r="F14" s="14" t="s">
        <v>1158</v>
      </c>
      <c r="G14" s="14" t="s">
        <v>1158</v>
      </c>
      <c r="H14" s="14" t="s">
        <v>1160</v>
      </c>
      <c r="I14" s="14" t="s">
        <v>1160</v>
      </c>
      <c r="J14" s="15" t="n">
        <f aca="false">(COUNTIF(E14:I14,"YES")+0.5*COUNTIF(E14:I14,"PARTIAL"))/5</f>
        <v>0.8</v>
      </c>
      <c r="K14" s="9" t="s">
        <v>1169</v>
      </c>
    </row>
    <row r="15" customFormat="false" ht="35.05" hidden="false" customHeight="false" outlineLevel="0" collapsed="false">
      <c r="A15" s="2" t="s">
        <v>443</v>
      </c>
      <c r="B15" s="2" t="s">
        <v>444</v>
      </c>
      <c r="C15" s="2" t="s">
        <v>350</v>
      </c>
      <c r="D15" s="2" t="s">
        <v>275</v>
      </c>
      <c r="E15" s="14" t="s">
        <v>1158</v>
      </c>
      <c r="F15" s="14" t="s">
        <v>1158</v>
      </c>
      <c r="G15" s="14" t="s">
        <v>1158</v>
      </c>
      <c r="H15" s="14" t="s">
        <v>1160</v>
      </c>
      <c r="I15" s="14" t="s">
        <v>1158</v>
      </c>
      <c r="J15" s="15" t="n">
        <f aca="false">(COUNTIF(E15:I15,"YES")+0.5*COUNTIF(E15:I15,"PARTIAL"))/5</f>
        <v>0.9</v>
      </c>
      <c r="K15" s="9" t="s">
        <v>1167</v>
      </c>
    </row>
    <row r="16" customFormat="false" ht="35.05" hidden="false" customHeight="false" outlineLevel="0" collapsed="false">
      <c r="A16" s="2" t="s">
        <v>461</v>
      </c>
      <c r="B16" s="2" t="s">
        <v>462</v>
      </c>
      <c r="C16" s="2" t="s">
        <v>350</v>
      </c>
      <c r="D16" s="2" t="s">
        <v>275</v>
      </c>
      <c r="E16" s="14" t="s">
        <v>1160</v>
      </c>
      <c r="F16" s="14" t="s">
        <v>1160</v>
      </c>
      <c r="G16" s="14" t="s">
        <v>1158</v>
      </c>
      <c r="H16" s="14" t="s">
        <v>1161</v>
      </c>
      <c r="I16" s="14" t="s">
        <v>1158</v>
      </c>
      <c r="J16" s="15" t="n">
        <f aca="false">(COUNTIF(E16:I16,"YES")+0.5*COUNTIF(E16:I16,"PARTIAL"))/5</f>
        <v>0.6</v>
      </c>
      <c r="K16" s="9" t="s">
        <v>1170</v>
      </c>
    </row>
    <row r="17" customFormat="false" ht="35.05" hidden="false" customHeight="false" outlineLevel="0" collapsed="false">
      <c r="A17" s="2" t="s">
        <v>476</v>
      </c>
      <c r="B17" s="2" t="s">
        <v>477</v>
      </c>
      <c r="C17" s="2" t="s">
        <v>350</v>
      </c>
      <c r="D17" s="2" t="s">
        <v>275</v>
      </c>
      <c r="E17" s="14" t="s">
        <v>1160</v>
      </c>
      <c r="F17" s="14" t="s">
        <v>1158</v>
      </c>
      <c r="G17" s="14" t="s">
        <v>1158</v>
      </c>
      <c r="H17" s="14" t="s">
        <v>1158</v>
      </c>
      <c r="I17" s="14" t="s">
        <v>1158</v>
      </c>
      <c r="J17" s="15" t="n">
        <f aca="false">(COUNTIF(E17:I17,"YES")+0.5*COUNTIF(E17:I17,"PARTIAL"))/5</f>
        <v>0.9</v>
      </c>
      <c r="K17" s="9" t="s">
        <v>1171</v>
      </c>
    </row>
    <row r="18" customFormat="false" ht="35.05" hidden="false" customHeight="false" outlineLevel="0" collapsed="false">
      <c r="A18" s="2" t="s">
        <v>489</v>
      </c>
      <c r="B18" s="2" t="s">
        <v>490</v>
      </c>
      <c r="C18" s="2" t="s">
        <v>350</v>
      </c>
      <c r="D18" s="2" t="s">
        <v>275</v>
      </c>
      <c r="E18" s="14" t="s">
        <v>1158</v>
      </c>
      <c r="F18" s="14" t="s">
        <v>1158</v>
      </c>
      <c r="G18" s="14" t="s">
        <v>1158</v>
      </c>
      <c r="H18" s="14" t="s">
        <v>1160</v>
      </c>
      <c r="I18" s="14" t="s">
        <v>1161</v>
      </c>
      <c r="J18" s="15" t="n">
        <f aca="false">(COUNTIF(E18:I18,"YES")+0.5*COUNTIF(E18:I18,"PARTIAL"))/5</f>
        <v>0.7</v>
      </c>
      <c r="K18" s="9" t="s">
        <v>1172</v>
      </c>
    </row>
    <row r="19" customFormat="false" ht="35.05" hidden="false" customHeight="false" outlineLevel="0" collapsed="false">
      <c r="A19" s="2" t="s">
        <v>503</v>
      </c>
      <c r="B19" s="2" t="s">
        <v>504</v>
      </c>
      <c r="C19" s="2" t="s">
        <v>350</v>
      </c>
      <c r="D19" s="2" t="s">
        <v>275</v>
      </c>
      <c r="E19" s="14" t="s">
        <v>1160</v>
      </c>
      <c r="F19" s="14" t="s">
        <v>1158</v>
      </c>
      <c r="G19" s="14" t="s">
        <v>1158</v>
      </c>
      <c r="H19" s="14" t="s">
        <v>1158</v>
      </c>
      <c r="I19" s="14" t="s">
        <v>1160</v>
      </c>
      <c r="J19" s="15" t="n">
        <f aca="false">(COUNTIF(E19:I19,"YES")+0.5*COUNTIF(E19:I19,"PARTIAL"))/5</f>
        <v>0.8</v>
      </c>
      <c r="K19" s="9" t="s">
        <v>1163</v>
      </c>
    </row>
    <row r="20" customFormat="false" ht="35.05" hidden="false" customHeight="false" outlineLevel="0" collapsed="false">
      <c r="A20" s="2" t="s">
        <v>517</v>
      </c>
      <c r="B20" s="2" t="s">
        <v>518</v>
      </c>
      <c r="C20" s="2" t="s">
        <v>350</v>
      </c>
      <c r="D20" s="2" t="s">
        <v>275</v>
      </c>
      <c r="E20" s="14" t="s">
        <v>1158</v>
      </c>
      <c r="F20" s="14" t="s">
        <v>1158</v>
      </c>
      <c r="G20" s="14" t="s">
        <v>1158</v>
      </c>
      <c r="H20" s="14" t="s">
        <v>1160</v>
      </c>
      <c r="I20" s="14" t="s">
        <v>1158</v>
      </c>
      <c r="J20" s="15" t="n">
        <f aca="false">(COUNTIF(E20:I20,"YES")+0.5*COUNTIF(E20:I20,"PARTIAL"))/5</f>
        <v>0.9</v>
      </c>
      <c r="K20" s="9" t="s">
        <v>1167</v>
      </c>
    </row>
    <row r="21" customFormat="false" ht="35.05" hidden="false" customHeight="false" outlineLevel="0" collapsed="false">
      <c r="A21" s="2" t="s">
        <v>532</v>
      </c>
      <c r="B21" s="2" t="s">
        <v>533</v>
      </c>
      <c r="C21" s="2" t="s">
        <v>350</v>
      </c>
      <c r="D21" s="2" t="s">
        <v>275</v>
      </c>
      <c r="E21" s="14" t="s">
        <v>1160</v>
      </c>
      <c r="F21" s="14" t="s">
        <v>1158</v>
      </c>
      <c r="G21" s="14" t="s">
        <v>1158</v>
      </c>
      <c r="H21" s="14" t="s">
        <v>1160</v>
      </c>
      <c r="I21" s="14" t="s">
        <v>1161</v>
      </c>
      <c r="J21" s="15" t="n">
        <f aca="false">(COUNTIF(E21:I21,"YES")+0.5*COUNTIF(E21:I21,"PARTIAL"))/5</f>
        <v>0.6</v>
      </c>
      <c r="K21" s="9" t="s">
        <v>1173</v>
      </c>
    </row>
    <row r="22" customFormat="false" ht="35.05" hidden="false" customHeight="false" outlineLevel="0" collapsed="false">
      <c r="A22" s="2" t="s">
        <v>544</v>
      </c>
      <c r="B22" s="2" t="s">
        <v>545</v>
      </c>
      <c r="C22" s="2" t="s">
        <v>350</v>
      </c>
      <c r="D22" s="2" t="s">
        <v>275</v>
      </c>
      <c r="E22" s="14" t="s">
        <v>1160</v>
      </c>
      <c r="F22" s="14" t="s">
        <v>1158</v>
      </c>
      <c r="G22" s="14" t="s">
        <v>1158</v>
      </c>
      <c r="H22" s="14" t="s">
        <v>1158</v>
      </c>
      <c r="I22" s="14" t="s">
        <v>1161</v>
      </c>
      <c r="J22" s="15" t="n">
        <f aca="false">(COUNTIF(E22:I22,"YES")+0.5*COUNTIF(E22:I22,"PARTIAL"))/5</f>
        <v>0.7</v>
      </c>
      <c r="K22" s="9" t="s">
        <v>1162</v>
      </c>
    </row>
    <row r="23" customFormat="false" ht="35.05" hidden="false" customHeight="false" outlineLevel="0" collapsed="false">
      <c r="A23" s="2" t="s">
        <v>555</v>
      </c>
      <c r="B23" s="2" t="s">
        <v>556</v>
      </c>
      <c r="C23" s="2" t="s">
        <v>350</v>
      </c>
      <c r="D23" s="2" t="s">
        <v>275</v>
      </c>
      <c r="E23" s="14" t="s">
        <v>1160</v>
      </c>
      <c r="F23" s="14" t="s">
        <v>1158</v>
      </c>
      <c r="G23" s="14" t="s">
        <v>1158</v>
      </c>
      <c r="H23" s="14" t="s">
        <v>1160</v>
      </c>
      <c r="I23" s="14" t="s">
        <v>1158</v>
      </c>
      <c r="J23" s="15" t="n">
        <f aca="false">(COUNTIF(E23:I23,"YES")+0.5*COUNTIF(E23:I23,"PARTIAL"))/5</f>
        <v>0.8</v>
      </c>
      <c r="K23" s="9" t="s">
        <v>1168</v>
      </c>
    </row>
    <row r="24" customFormat="false" ht="35.05" hidden="false" customHeight="false" outlineLevel="0" collapsed="false">
      <c r="A24" s="2" t="s">
        <v>568</v>
      </c>
      <c r="B24" s="2" t="s">
        <v>569</v>
      </c>
      <c r="C24" s="2" t="s">
        <v>350</v>
      </c>
      <c r="D24" s="2" t="s">
        <v>275</v>
      </c>
      <c r="E24" s="14" t="s">
        <v>1160</v>
      </c>
      <c r="F24" s="14" t="s">
        <v>1158</v>
      </c>
      <c r="G24" s="14" t="s">
        <v>1158</v>
      </c>
      <c r="H24" s="14" t="s">
        <v>1160</v>
      </c>
      <c r="I24" s="14" t="s">
        <v>1161</v>
      </c>
      <c r="J24" s="15" t="n">
        <f aca="false">(COUNTIF(E24:I24,"YES")+0.5*COUNTIF(E24:I24,"PARTIAL"))/5</f>
        <v>0.6</v>
      </c>
      <c r="K24" s="9" t="s">
        <v>1173</v>
      </c>
    </row>
    <row r="25" customFormat="false" ht="35.05" hidden="false" customHeight="false" outlineLevel="0" collapsed="false">
      <c r="A25" s="2" t="s">
        <v>581</v>
      </c>
      <c r="B25" s="2" t="s">
        <v>582</v>
      </c>
      <c r="C25" s="2" t="s">
        <v>350</v>
      </c>
      <c r="D25" s="2" t="s">
        <v>275</v>
      </c>
      <c r="E25" s="14" t="s">
        <v>1158</v>
      </c>
      <c r="F25" s="14" t="s">
        <v>1158</v>
      </c>
      <c r="G25" s="14" t="s">
        <v>1158</v>
      </c>
      <c r="H25" s="14" t="s">
        <v>1160</v>
      </c>
      <c r="I25" s="14" t="s">
        <v>1160</v>
      </c>
      <c r="J25" s="15" t="n">
        <f aca="false">(COUNTIF(E25:I25,"YES")+0.5*COUNTIF(E25:I25,"PARTIAL"))/5</f>
        <v>0.8</v>
      </c>
      <c r="K25" s="9" t="s">
        <v>1169</v>
      </c>
    </row>
    <row r="26" customFormat="false" ht="35.05" hidden="false" customHeight="false" outlineLevel="0" collapsed="false">
      <c r="A26" s="2" t="s">
        <v>593</v>
      </c>
      <c r="B26" s="2" t="s">
        <v>594</v>
      </c>
      <c r="C26" s="2" t="s">
        <v>350</v>
      </c>
      <c r="D26" s="2" t="s">
        <v>275</v>
      </c>
      <c r="E26" s="14" t="s">
        <v>1160</v>
      </c>
      <c r="F26" s="14" t="s">
        <v>1158</v>
      </c>
      <c r="G26" s="14" t="s">
        <v>1158</v>
      </c>
      <c r="H26" s="14" t="s">
        <v>1160</v>
      </c>
      <c r="I26" s="14" t="s">
        <v>1158</v>
      </c>
      <c r="J26" s="15" t="n">
        <f aca="false">(COUNTIF(E26:I26,"YES")+0.5*COUNTIF(E26:I26,"PARTIAL"))/5</f>
        <v>0.8</v>
      </c>
      <c r="K26" s="9" t="s">
        <v>1168</v>
      </c>
    </row>
    <row r="27" customFormat="false" ht="35.05" hidden="false" customHeight="false" outlineLevel="0" collapsed="false">
      <c r="A27" s="2" t="s">
        <v>610</v>
      </c>
      <c r="B27" s="2" t="s">
        <v>611</v>
      </c>
      <c r="C27" s="2" t="s">
        <v>350</v>
      </c>
      <c r="D27" s="2" t="s">
        <v>275</v>
      </c>
      <c r="E27" s="14" t="s">
        <v>1160</v>
      </c>
      <c r="F27" s="14" t="s">
        <v>1158</v>
      </c>
      <c r="G27" s="14" t="s">
        <v>1158</v>
      </c>
      <c r="H27" s="14" t="s">
        <v>1158</v>
      </c>
      <c r="I27" s="14" t="s">
        <v>1160</v>
      </c>
      <c r="J27" s="15" t="n">
        <f aca="false">(COUNTIF(E27:I27,"YES")+0.5*COUNTIF(E27:I27,"PARTIAL"))/5</f>
        <v>0.8</v>
      </c>
      <c r="K27" s="9" t="s">
        <v>1163</v>
      </c>
    </row>
    <row r="28" customFormat="false" ht="35.05" hidden="false" customHeight="false" outlineLevel="0" collapsed="false">
      <c r="A28" s="2" t="s">
        <v>624</v>
      </c>
      <c r="B28" s="2" t="s">
        <v>625</v>
      </c>
      <c r="C28" s="2" t="s">
        <v>350</v>
      </c>
      <c r="D28" s="2" t="s">
        <v>275</v>
      </c>
      <c r="E28" s="14" t="s">
        <v>1158</v>
      </c>
      <c r="F28" s="14" t="s">
        <v>1158</v>
      </c>
      <c r="G28" s="14" t="s">
        <v>1158</v>
      </c>
      <c r="H28" s="14" t="s">
        <v>1160</v>
      </c>
      <c r="I28" s="14" t="s">
        <v>1158</v>
      </c>
      <c r="J28" s="15" t="n">
        <f aca="false">(COUNTIF(E28:I28,"YES")+0.5*COUNTIF(E28:I28,"PARTIAL"))/5</f>
        <v>0.9</v>
      </c>
      <c r="K28" s="9" t="s">
        <v>1167</v>
      </c>
    </row>
    <row r="29" customFormat="false" ht="35.05" hidden="false" customHeight="false" outlineLevel="0" collapsed="false">
      <c r="A29" s="2" t="s">
        <v>637</v>
      </c>
      <c r="B29" s="2" t="s">
        <v>638</v>
      </c>
      <c r="C29" s="2" t="s">
        <v>350</v>
      </c>
      <c r="D29" s="2" t="s">
        <v>275</v>
      </c>
      <c r="E29" s="14" t="s">
        <v>1158</v>
      </c>
      <c r="F29" s="14" t="s">
        <v>1160</v>
      </c>
      <c r="G29" s="14" t="s">
        <v>1158</v>
      </c>
      <c r="H29" s="14" t="s">
        <v>1160</v>
      </c>
      <c r="I29" s="14" t="s">
        <v>1160</v>
      </c>
      <c r="J29" s="15" t="n">
        <f aca="false">(COUNTIF(E29:I29,"YES")+0.5*COUNTIF(E29:I29,"PARTIAL"))/5</f>
        <v>0.7</v>
      </c>
      <c r="K29" s="9" t="s">
        <v>1174</v>
      </c>
    </row>
    <row r="30" customFormat="false" ht="35.05" hidden="false" customHeight="false" outlineLevel="0" collapsed="false">
      <c r="A30" s="2" t="s">
        <v>654</v>
      </c>
      <c r="B30" s="2" t="s">
        <v>655</v>
      </c>
      <c r="C30" s="2" t="s">
        <v>350</v>
      </c>
      <c r="D30" s="2" t="s">
        <v>275</v>
      </c>
      <c r="E30" s="14" t="s">
        <v>1158</v>
      </c>
      <c r="F30" s="14" t="s">
        <v>1158</v>
      </c>
      <c r="G30" s="14" t="s">
        <v>1158</v>
      </c>
      <c r="H30" s="14" t="s">
        <v>1160</v>
      </c>
      <c r="I30" s="14" t="s">
        <v>1158</v>
      </c>
      <c r="J30" s="15" t="n">
        <f aca="false">(COUNTIF(E30:I30,"YES")+0.5*COUNTIF(E30:I30,"PARTIAL"))/5</f>
        <v>0.9</v>
      </c>
      <c r="K30" s="9" t="s">
        <v>1167</v>
      </c>
    </row>
    <row r="31" customFormat="false" ht="35.05" hidden="false" customHeight="false" outlineLevel="0" collapsed="false">
      <c r="A31" s="2" t="s">
        <v>668</v>
      </c>
      <c r="B31" s="2" t="s">
        <v>669</v>
      </c>
      <c r="C31" s="2" t="s">
        <v>350</v>
      </c>
      <c r="D31" s="2" t="s">
        <v>275</v>
      </c>
      <c r="E31" s="14" t="s">
        <v>1158</v>
      </c>
      <c r="F31" s="14" t="s">
        <v>1158</v>
      </c>
      <c r="G31" s="14" t="s">
        <v>1158</v>
      </c>
      <c r="H31" s="14" t="s">
        <v>1160</v>
      </c>
      <c r="I31" s="14" t="s">
        <v>1158</v>
      </c>
      <c r="J31" s="15" t="n">
        <f aca="false">(COUNTIF(E31:I31,"YES")+0.5*COUNTIF(E31:I31,"PARTIAL"))/5</f>
        <v>0.9</v>
      </c>
      <c r="K31" s="9" t="s">
        <v>1167</v>
      </c>
    </row>
    <row r="32" customFormat="false" ht="35.05" hidden="false" customHeight="false" outlineLevel="0" collapsed="false">
      <c r="A32" s="2" t="s">
        <v>681</v>
      </c>
      <c r="B32" s="2" t="s">
        <v>682</v>
      </c>
      <c r="C32" s="2" t="s">
        <v>350</v>
      </c>
      <c r="D32" s="2" t="s">
        <v>275</v>
      </c>
      <c r="E32" s="14" t="s">
        <v>1158</v>
      </c>
      <c r="F32" s="14" t="s">
        <v>1158</v>
      </c>
      <c r="G32" s="14" t="s">
        <v>1158</v>
      </c>
      <c r="H32" s="14" t="s">
        <v>1160</v>
      </c>
      <c r="I32" s="14" t="s">
        <v>1160</v>
      </c>
      <c r="J32" s="15" t="n">
        <f aca="false">(COUNTIF(E32:I32,"YES")+0.5*COUNTIF(E32:I32,"PARTIAL"))/5</f>
        <v>0.8</v>
      </c>
      <c r="K32" s="9" t="s">
        <v>1169</v>
      </c>
    </row>
    <row r="33" customFormat="false" ht="35.05" hidden="false" customHeight="false" outlineLevel="0" collapsed="false">
      <c r="A33" s="2" t="s">
        <v>695</v>
      </c>
      <c r="B33" s="2" t="s">
        <v>696</v>
      </c>
      <c r="C33" s="2" t="s">
        <v>350</v>
      </c>
      <c r="D33" s="2" t="s">
        <v>275</v>
      </c>
      <c r="E33" s="14" t="s">
        <v>1158</v>
      </c>
      <c r="F33" s="14" t="s">
        <v>1160</v>
      </c>
      <c r="G33" s="14" t="s">
        <v>1158</v>
      </c>
      <c r="H33" s="14" t="s">
        <v>1160</v>
      </c>
      <c r="I33" s="14" t="s">
        <v>1160</v>
      </c>
      <c r="J33" s="15" t="n">
        <f aca="false">(COUNTIF(E33:I33,"YES")+0.5*COUNTIF(E33:I33,"PARTIAL"))/5</f>
        <v>0.7</v>
      </c>
      <c r="K33" s="9" t="s">
        <v>1174</v>
      </c>
    </row>
    <row r="34" customFormat="false" ht="35.05" hidden="false" customHeight="false" outlineLevel="0" collapsed="false">
      <c r="A34" s="2" t="s">
        <v>708</v>
      </c>
      <c r="B34" s="2" t="s">
        <v>709</v>
      </c>
      <c r="C34" s="2" t="s">
        <v>350</v>
      </c>
      <c r="D34" s="2" t="s">
        <v>275</v>
      </c>
      <c r="E34" s="14" t="s">
        <v>1158</v>
      </c>
      <c r="F34" s="14" t="s">
        <v>1160</v>
      </c>
      <c r="G34" s="14" t="s">
        <v>1158</v>
      </c>
      <c r="H34" s="14" t="s">
        <v>1160</v>
      </c>
      <c r="I34" s="14" t="s">
        <v>1160</v>
      </c>
      <c r="J34" s="15" t="n">
        <f aca="false">(COUNTIF(E34:I34,"YES")+0.5*COUNTIF(E34:I34,"PARTIAL"))/5</f>
        <v>0.7</v>
      </c>
      <c r="K34" s="9" t="s">
        <v>1174</v>
      </c>
    </row>
    <row r="35" customFormat="false" ht="35.05" hidden="false" customHeight="false" outlineLevel="0" collapsed="false">
      <c r="A35" s="2" t="s">
        <v>721</v>
      </c>
      <c r="B35" s="2" t="s">
        <v>722</v>
      </c>
      <c r="C35" s="2" t="s">
        <v>350</v>
      </c>
      <c r="D35" s="2" t="s">
        <v>275</v>
      </c>
      <c r="E35" s="14" t="s">
        <v>1158</v>
      </c>
      <c r="F35" s="14" t="s">
        <v>1158</v>
      </c>
      <c r="G35" s="14" t="s">
        <v>1158</v>
      </c>
      <c r="H35" s="14" t="s">
        <v>1160</v>
      </c>
      <c r="I35" s="14" t="s">
        <v>1160</v>
      </c>
      <c r="J35" s="15" t="n">
        <f aca="false">(COUNTIF(E35:I35,"YES")+0.5*COUNTIF(E35:I35,"PARTIAL"))/5</f>
        <v>0.8</v>
      </c>
      <c r="K35" s="9" t="s">
        <v>1169</v>
      </c>
    </row>
    <row r="36" customFormat="false" ht="35.05" hidden="false" customHeight="false" outlineLevel="0" collapsed="false">
      <c r="A36" s="2" t="s">
        <v>735</v>
      </c>
      <c r="B36" s="2" t="s">
        <v>736</v>
      </c>
      <c r="C36" s="2" t="s">
        <v>350</v>
      </c>
      <c r="D36" s="2" t="s">
        <v>275</v>
      </c>
      <c r="E36" s="14" t="s">
        <v>1158</v>
      </c>
      <c r="F36" s="14" t="s">
        <v>1158</v>
      </c>
      <c r="G36" s="14" t="s">
        <v>1160</v>
      </c>
      <c r="H36" s="14" t="s">
        <v>1160</v>
      </c>
      <c r="I36" s="14" t="s">
        <v>1160</v>
      </c>
      <c r="J36" s="15" t="n">
        <f aca="false">(COUNTIF(E36:I36,"YES")+0.5*COUNTIF(E36:I36,"PARTIAL"))/5</f>
        <v>0.7</v>
      </c>
      <c r="K36" s="9" t="s">
        <v>1175</v>
      </c>
    </row>
    <row r="37" customFormat="false" ht="35.05" hidden="false" customHeight="false" outlineLevel="0" collapsed="false">
      <c r="A37" s="2" t="s">
        <v>747</v>
      </c>
      <c r="B37" s="2" t="s">
        <v>748</v>
      </c>
      <c r="C37" s="2" t="s">
        <v>350</v>
      </c>
      <c r="D37" s="2" t="s">
        <v>275</v>
      </c>
      <c r="E37" s="14" t="s">
        <v>1158</v>
      </c>
      <c r="F37" s="14" t="s">
        <v>1158</v>
      </c>
      <c r="G37" s="14" t="s">
        <v>1160</v>
      </c>
      <c r="H37" s="14" t="s">
        <v>1160</v>
      </c>
      <c r="I37" s="14" t="s">
        <v>1158</v>
      </c>
      <c r="J37" s="15" t="n">
        <f aca="false">(COUNTIF(E37:I37,"YES")+0.5*COUNTIF(E37:I37,"PARTIAL"))/5</f>
        <v>0.8</v>
      </c>
      <c r="K37" s="9" t="s">
        <v>1176</v>
      </c>
    </row>
    <row r="38" customFormat="false" ht="35.05" hidden="false" customHeight="false" outlineLevel="0" collapsed="false">
      <c r="A38" s="2" t="s">
        <v>759</v>
      </c>
      <c r="B38" s="2" t="s">
        <v>760</v>
      </c>
      <c r="C38" s="2" t="s">
        <v>350</v>
      </c>
      <c r="D38" s="2" t="s">
        <v>275</v>
      </c>
      <c r="E38" s="14" t="s">
        <v>1160</v>
      </c>
      <c r="F38" s="14" t="s">
        <v>1158</v>
      </c>
      <c r="G38" s="14" t="s">
        <v>1158</v>
      </c>
      <c r="H38" s="14" t="s">
        <v>1160</v>
      </c>
      <c r="I38" s="14" t="s">
        <v>1161</v>
      </c>
      <c r="J38" s="15" t="n">
        <f aca="false">(COUNTIF(E38:I38,"YES")+0.5*COUNTIF(E38:I38,"PARTIAL"))/5</f>
        <v>0.6</v>
      </c>
      <c r="K38" s="9" t="s">
        <v>1173</v>
      </c>
    </row>
    <row r="39" customFormat="false" ht="35.05" hidden="false" customHeight="false" outlineLevel="0" collapsed="false">
      <c r="A39" s="2" t="s">
        <v>773</v>
      </c>
      <c r="B39" s="2" t="s">
        <v>774</v>
      </c>
      <c r="C39" s="2" t="s">
        <v>350</v>
      </c>
      <c r="D39" s="2" t="s">
        <v>275</v>
      </c>
      <c r="E39" s="14" t="s">
        <v>1158</v>
      </c>
      <c r="F39" s="14" t="s">
        <v>1158</v>
      </c>
      <c r="G39" s="14" t="s">
        <v>1158</v>
      </c>
      <c r="H39" s="14" t="s">
        <v>1160</v>
      </c>
      <c r="I39" s="14" t="s">
        <v>1160</v>
      </c>
      <c r="J39" s="15" t="n">
        <f aca="false">(COUNTIF(E39:I39,"YES")+0.5*COUNTIF(E39:I39,"PARTIAL"))/5</f>
        <v>0.8</v>
      </c>
      <c r="K39" s="9" t="s">
        <v>1169</v>
      </c>
    </row>
    <row r="40" customFormat="false" ht="35.05" hidden="false" customHeight="false" outlineLevel="0" collapsed="false">
      <c r="A40" s="2" t="s">
        <v>789</v>
      </c>
      <c r="B40" s="2" t="s">
        <v>790</v>
      </c>
      <c r="C40" s="2" t="s">
        <v>792</v>
      </c>
      <c r="D40" s="2" t="s">
        <v>793</v>
      </c>
      <c r="E40" s="14" t="s">
        <v>1160</v>
      </c>
      <c r="F40" s="14" t="s">
        <v>1160</v>
      </c>
      <c r="G40" s="14" t="s">
        <v>1160</v>
      </c>
      <c r="H40" s="14" t="s">
        <v>1161</v>
      </c>
      <c r="I40" s="14" t="s">
        <v>1161</v>
      </c>
      <c r="J40" s="15" t="n">
        <f aca="false">(COUNTIF(E40:I40,"YES")+0.5*COUNTIF(E40:I40,"PARTIAL"))/5</f>
        <v>0.3</v>
      </c>
      <c r="K40" s="9" t="s">
        <v>1177</v>
      </c>
    </row>
    <row r="41" customFormat="false" ht="35.05" hidden="false" customHeight="false" outlineLevel="0" collapsed="false">
      <c r="A41" s="2" t="s">
        <v>797</v>
      </c>
      <c r="B41" s="2" t="s">
        <v>798</v>
      </c>
      <c r="C41" s="2" t="s">
        <v>792</v>
      </c>
      <c r="D41" s="2" t="s">
        <v>793</v>
      </c>
      <c r="E41" s="14" t="s">
        <v>1160</v>
      </c>
      <c r="F41" s="14" t="s">
        <v>1160</v>
      </c>
      <c r="G41" s="14" t="s">
        <v>1160</v>
      </c>
      <c r="H41" s="14" t="s">
        <v>1161</v>
      </c>
      <c r="I41" s="14" t="s">
        <v>1161</v>
      </c>
      <c r="J41" s="15" t="n">
        <f aca="false">(COUNTIF(E41:I41,"YES")+0.5*COUNTIF(E41:I41,"PARTIAL"))/5</f>
        <v>0.3</v>
      </c>
      <c r="K41" s="9" t="s">
        <v>1177</v>
      </c>
    </row>
    <row r="42" customFormat="false" ht="35.05" hidden="false" customHeight="false" outlineLevel="0" collapsed="false">
      <c r="A42" s="2" t="s">
        <v>803</v>
      </c>
      <c r="B42" s="2" t="s">
        <v>804</v>
      </c>
      <c r="C42" s="2" t="s">
        <v>792</v>
      </c>
      <c r="D42" s="2" t="s">
        <v>793</v>
      </c>
      <c r="E42" s="14" t="s">
        <v>1160</v>
      </c>
      <c r="F42" s="14" t="s">
        <v>1160</v>
      </c>
      <c r="G42" s="14" t="s">
        <v>1160</v>
      </c>
      <c r="H42" s="14" t="s">
        <v>1161</v>
      </c>
      <c r="I42" s="14" t="s">
        <v>1161</v>
      </c>
      <c r="J42" s="15" t="n">
        <f aca="false">(COUNTIF(E42:I42,"YES")+0.5*COUNTIF(E42:I42,"PARTIAL"))/5</f>
        <v>0.3</v>
      </c>
      <c r="K42" s="9" t="s">
        <v>1177</v>
      </c>
    </row>
    <row r="43" customFormat="false" ht="35.05" hidden="false" customHeight="false" outlineLevel="0" collapsed="false">
      <c r="A43" s="2" t="s">
        <v>809</v>
      </c>
      <c r="B43" s="2" t="s">
        <v>810</v>
      </c>
      <c r="C43" s="2" t="s">
        <v>792</v>
      </c>
      <c r="D43" s="2" t="s">
        <v>793</v>
      </c>
      <c r="E43" s="14" t="s">
        <v>1160</v>
      </c>
      <c r="F43" s="14" t="s">
        <v>1160</v>
      </c>
      <c r="G43" s="14" t="s">
        <v>1160</v>
      </c>
      <c r="H43" s="14" t="s">
        <v>1161</v>
      </c>
      <c r="I43" s="14" t="s">
        <v>1161</v>
      </c>
      <c r="J43" s="15" t="n">
        <f aca="false">(COUNTIF(E43:I43,"YES")+0.5*COUNTIF(E43:I43,"PARTIAL"))/5</f>
        <v>0.3</v>
      </c>
      <c r="K43" s="9" t="s">
        <v>1177</v>
      </c>
    </row>
    <row r="44" customFormat="false" ht="35.05" hidden="false" customHeight="false" outlineLevel="0" collapsed="false">
      <c r="A44" s="2" t="s">
        <v>814</v>
      </c>
      <c r="B44" s="2" t="s">
        <v>815</v>
      </c>
      <c r="C44" s="2" t="s">
        <v>792</v>
      </c>
      <c r="D44" s="2" t="s">
        <v>793</v>
      </c>
      <c r="E44" s="14" t="s">
        <v>1160</v>
      </c>
      <c r="F44" s="14" t="s">
        <v>1160</v>
      </c>
      <c r="G44" s="14" t="s">
        <v>1160</v>
      </c>
      <c r="H44" s="14" t="s">
        <v>1161</v>
      </c>
      <c r="I44" s="14" t="s">
        <v>1161</v>
      </c>
      <c r="J44" s="15" t="n">
        <f aca="false">(COUNTIF(E44:I44,"YES")+0.5*COUNTIF(E44:I44,"PARTIAL"))/5</f>
        <v>0.3</v>
      </c>
      <c r="K44" s="9" t="s">
        <v>1177</v>
      </c>
    </row>
    <row r="45" customFormat="false" ht="35.05" hidden="false" customHeight="false" outlineLevel="0" collapsed="false">
      <c r="A45" s="2" t="s">
        <v>819</v>
      </c>
      <c r="B45" s="2" t="s">
        <v>820</v>
      </c>
      <c r="C45" s="2" t="s">
        <v>792</v>
      </c>
      <c r="D45" s="2" t="s">
        <v>793</v>
      </c>
      <c r="E45" s="14" t="s">
        <v>1160</v>
      </c>
      <c r="F45" s="14" t="s">
        <v>1160</v>
      </c>
      <c r="G45" s="14" t="s">
        <v>1160</v>
      </c>
      <c r="H45" s="14" t="s">
        <v>1161</v>
      </c>
      <c r="I45" s="14" t="s">
        <v>1161</v>
      </c>
      <c r="J45" s="15" t="n">
        <f aca="false">(COUNTIF(E45:I45,"YES")+0.5*COUNTIF(E45:I45,"PARTIAL"))/5</f>
        <v>0.3</v>
      </c>
      <c r="K45" s="9" t="s">
        <v>1177</v>
      </c>
    </row>
    <row r="46" customFormat="false" ht="35.05" hidden="false" customHeight="false" outlineLevel="0" collapsed="false">
      <c r="A46" s="2" t="s">
        <v>823</v>
      </c>
      <c r="B46" s="2" t="s">
        <v>824</v>
      </c>
      <c r="C46" s="2" t="s">
        <v>792</v>
      </c>
      <c r="D46" s="2" t="s">
        <v>793</v>
      </c>
      <c r="E46" s="14" t="s">
        <v>1160</v>
      </c>
      <c r="F46" s="14" t="s">
        <v>1160</v>
      </c>
      <c r="G46" s="14" t="s">
        <v>1160</v>
      </c>
      <c r="H46" s="14" t="s">
        <v>1161</v>
      </c>
      <c r="I46" s="14" t="s">
        <v>1161</v>
      </c>
      <c r="J46" s="15" t="n">
        <f aca="false">(COUNTIF(E46:I46,"YES")+0.5*COUNTIF(E46:I46,"PARTIAL"))/5</f>
        <v>0.3</v>
      </c>
      <c r="K46" s="9" t="s">
        <v>1177</v>
      </c>
    </row>
    <row r="47" customFormat="false" ht="35.05" hidden="false" customHeight="false" outlineLevel="0" collapsed="false">
      <c r="A47" s="2" t="s">
        <v>827</v>
      </c>
      <c r="B47" s="2" t="s">
        <v>828</v>
      </c>
      <c r="C47" s="2" t="s">
        <v>792</v>
      </c>
      <c r="D47" s="2" t="s">
        <v>793</v>
      </c>
      <c r="E47" s="14" t="s">
        <v>1160</v>
      </c>
      <c r="F47" s="14" t="s">
        <v>1160</v>
      </c>
      <c r="G47" s="14" t="s">
        <v>1160</v>
      </c>
      <c r="H47" s="14" t="s">
        <v>1161</v>
      </c>
      <c r="I47" s="14" t="s">
        <v>1161</v>
      </c>
      <c r="J47" s="15" t="n">
        <f aca="false">(COUNTIF(E47:I47,"YES")+0.5*COUNTIF(E47:I47,"PARTIAL"))/5</f>
        <v>0.3</v>
      </c>
      <c r="K47" s="9" t="s">
        <v>1177</v>
      </c>
    </row>
    <row r="48" customFormat="false" ht="35.05" hidden="false" customHeight="false" outlineLevel="0" collapsed="false">
      <c r="A48" s="2" t="s">
        <v>831</v>
      </c>
      <c r="B48" s="2" t="s">
        <v>832</v>
      </c>
      <c r="C48" s="2" t="s">
        <v>792</v>
      </c>
      <c r="D48" s="2" t="s">
        <v>793</v>
      </c>
      <c r="E48" s="14" t="s">
        <v>1160</v>
      </c>
      <c r="F48" s="14" t="s">
        <v>1160</v>
      </c>
      <c r="G48" s="14" t="s">
        <v>1160</v>
      </c>
      <c r="H48" s="14" t="s">
        <v>1161</v>
      </c>
      <c r="I48" s="14" t="s">
        <v>1161</v>
      </c>
      <c r="J48" s="15" t="n">
        <f aca="false">(COUNTIF(E48:I48,"YES")+0.5*COUNTIF(E48:I48,"PARTIAL"))/5</f>
        <v>0.3</v>
      </c>
      <c r="K48" s="9" t="s">
        <v>1177</v>
      </c>
    </row>
    <row r="49" customFormat="false" ht="35.05" hidden="false" customHeight="false" outlineLevel="0" collapsed="false">
      <c r="A49" s="2" t="s">
        <v>835</v>
      </c>
      <c r="B49" s="2" t="s">
        <v>836</v>
      </c>
      <c r="C49" s="2" t="s">
        <v>792</v>
      </c>
      <c r="D49" s="2" t="s">
        <v>838</v>
      </c>
      <c r="E49" s="14" t="s">
        <v>1160</v>
      </c>
      <c r="F49" s="14" t="s">
        <v>1160</v>
      </c>
      <c r="G49" s="14" t="s">
        <v>1160</v>
      </c>
      <c r="H49" s="14" t="s">
        <v>1161</v>
      </c>
      <c r="I49" s="14" t="s">
        <v>1161</v>
      </c>
      <c r="J49" s="15" t="n">
        <f aca="false">(COUNTIF(E49:I49,"YES")+0.5*COUNTIF(E49:I49,"PARTIAL"))/5</f>
        <v>0.3</v>
      </c>
      <c r="K49" s="9" t="s">
        <v>1177</v>
      </c>
    </row>
    <row r="50" customFormat="false" ht="35.05" hidden="false" customHeight="false" outlineLevel="0" collapsed="false">
      <c r="A50" s="2" t="s">
        <v>840</v>
      </c>
      <c r="B50" s="2" t="s">
        <v>841</v>
      </c>
      <c r="C50" s="2" t="s">
        <v>792</v>
      </c>
      <c r="D50" s="2" t="s">
        <v>838</v>
      </c>
      <c r="E50" s="14" t="s">
        <v>1160</v>
      </c>
      <c r="F50" s="14" t="s">
        <v>1160</v>
      </c>
      <c r="G50" s="14" t="s">
        <v>1160</v>
      </c>
      <c r="H50" s="14" t="s">
        <v>1161</v>
      </c>
      <c r="I50" s="14" t="s">
        <v>1161</v>
      </c>
      <c r="J50" s="15" t="n">
        <f aca="false">(COUNTIF(E50:I50,"YES")+0.5*COUNTIF(E50:I50,"PARTIAL"))/5</f>
        <v>0.3</v>
      </c>
      <c r="K50" s="9" t="s">
        <v>1177</v>
      </c>
    </row>
    <row r="51" customFormat="false" ht="35.05" hidden="false" customHeight="false" outlineLevel="0" collapsed="false">
      <c r="A51" s="2" t="s">
        <v>844</v>
      </c>
      <c r="B51" s="2" t="s">
        <v>845</v>
      </c>
      <c r="C51" s="2" t="s">
        <v>792</v>
      </c>
      <c r="D51" s="2" t="s">
        <v>838</v>
      </c>
      <c r="E51" s="14" t="s">
        <v>1160</v>
      </c>
      <c r="F51" s="14" t="s">
        <v>1160</v>
      </c>
      <c r="G51" s="14" t="s">
        <v>1160</v>
      </c>
      <c r="H51" s="14" t="s">
        <v>1161</v>
      </c>
      <c r="I51" s="14" t="s">
        <v>1161</v>
      </c>
      <c r="J51" s="15" t="n">
        <f aca="false">(COUNTIF(E51:I51,"YES")+0.5*COUNTIF(E51:I51,"PARTIAL"))/5</f>
        <v>0.3</v>
      </c>
      <c r="K51" s="9" t="s">
        <v>1177</v>
      </c>
    </row>
    <row r="52" customFormat="false" ht="35.05" hidden="false" customHeight="false" outlineLevel="0" collapsed="false">
      <c r="A52" s="2" t="s">
        <v>848</v>
      </c>
      <c r="B52" s="2" t="s">
        <v>849</v>
      </c>
      <c r="C52" s="2" t="s">
        <v>792</v>
      </c>
      <c r="D52" s="2" t="s">
        <v>838</v>
      </c>
      <c r="E52" s="14" t="s">
        <v>1160</v>
      </c>
      <c r="F52" s="14" t="s">
        <v>1160</v>
      </c>
      <c r="G52" s="14" t="s">
        <v>1160</v>
      </c>
      <c r="H52" s="14" t="s">
        <v>1161</v>
      </c>
      <c r="I52" s="14" t="s">
        <v>1161</v>
      </c>
      <c r="J52" s="15" t="n">
        <f aca="false">(COUNTIF(E52:I52,"YES")+0.5*COUNTIF(E52:I52,"PARTIAL"))/5</f>
        <v>0.3</v>
      </c>
      <c r="K52" s="9" t="s">
        <v>1177</v>
      </c>
    </row>
    <row r="53" customFormat="false" ht="35.05" hidden="false" customHeight="false" outlineLevel="0" collapsed="false">
      <c r="A53" s="2" t="s">
        <v>852</v>
      </c>
      <c r="B53" s="2" t="s">
        <v>853</v>
      </c>
      <c r="C53" s="2" t="s">
        <v>792</v>
      </c>
      <c r="D53" s="2" t="s">
        <v>838</v>
      </c>
      <c r="E53" s="14" t="s">
        <v>1160</v>
      </c>
      <c r="F53" s="14" t="s">
        <v>1160</v>
      </c>
      <c r="G53" s="14" t="s">
        <v>1160</v>
      </c>
      <c r="H53" s="14" t="s">
        <v>1161</v>
      </c>
      <c r="I53" s="14" t="s">
        <v>1161</v>
      </c>
      <c r="J53" s="15" t="n">
        <f aca="false">(COUNTIF(E53:I53,"YES")+0.5*COUNTIF(E53:I53,"PARTIAL"))/5</f>
        <v>0.3</v>
      </c>
      <c r="K53" s="9" t="s">
        <v>1177</v>
      </c>
    </row>
    <row r="54" customFormat="false" ht="35.05" hidden="false" customHeight="false" outlineLevel="0" collapsed="false">
      <c r="A54" s="2" t="s">
        <v>856</v>
      </c>
      <c r="B54" s="2" t="s">
        <v>857</v>
      </c>
      <c r="C54" s="2" t="s">
        <v>792</v>
      </c>
      <c r="D54" s="2" t="s">
        <v>838</v>
      </c>
      <c r="E54" s="14" t="s">
        <v>1160</v>
      </c>
      <c r="F54" s="14" t="s">
        <v>1160</v>
      </c>
      <c r="G54" s="14" t="s">
        <v>1160</v>
      </c>
      <c r="H54" s="14" t="s">
        <v>1161</v>
      </c>
      <c r="I54" s="14" t="s">
        <v>1161</v>
      </c>
      <c r="J54" s="15" t="n">
        <f aca="false">(COUNTIF(E54:I54,"YES")+0.5*COUNTIF(E54:I54,"PARTIAL"))/5</f>
        <v>0.3</v>
      </c>
      <c r="K54" s="9" t="s">
        <v>1177</v>
      </c>
    </row>
    <row r="55" customFormat="false" ht="35.05" hidden="false" customHeight="false" outlineLevel="0" collapsed="false">
      <c r="A55" s="2" t="s">
        <v>860</v>
      </c>
      <c r="B55" s="2" t="s">
        <v>861</v>
      </c>
      <c r="C55" s="2" t="s">
        <v>792</v>
      </c>
      <c r="D55" s="2" t="s">
        <v>838</v>
      </c>
      <c r="E55" s="14" t="s">
        <v>1160</v>
      </c>
      <c r="F55" s="14" t="s">
        <v>1160</v>
      </c>
      <c r="G55" s="14" t="s">
        <v>1160</v>
      </c>
      <c r="H55" s="14" t="s">
        <v>1161</v>
      </c>
      <c r="I55" s="14" t="s">
        <v>1161</v>
      </c>
      <c r="J55" s="15" t="n">
        <f aca="false">(COUNTIF(E55:I55,"YES")+0.5*COUNTIF(E55:I55,"PARTIAL"))/5</f>
        <v>0.3</v>
      </c>
      <c r="K55" s="9" t="s">
        <v>1177</v>
      </c>
    </row>
    <row r="56" customFormat="false" ht="35.05" hidden="false" customHeight="false" outlineLevel="0" collapsed="false">
      <c r="A56" s="2" t="s">
        <v>864</v>
      </c>
      <c r="B56" s="2" t="s">
        <v>865</v>
      </c>
      <c r="C56" s="2" t="s">
        <v>792</v>
      </c>
      <c r="D56" s="2" t="s">
        <v>838</v>
      </c>
      <c r="E56" s="14" t="s">
        <v>1160</v>
      </c>
      <c r="F56" s="14" t="s">
        <v>1160</v>
      </c>
      <c r="G56" s="14" t="s">
        <v>1160</v>
      </c>
      <c r="H56" s="14" t="s">
        <v>1161</v>
      </c>
      <c r="I56" s="14" t="s">
        <v>1161</v>
      </c>
      <c r="J56" s="15" t="n">
        <f aca="false">(COUNTIF(E56:I56,"YES")+0.5*COUNTIF(E56:I56,"PARTIAL"))/5</f>
        <v>0.3</v>
      </c>
      <c r="K56" s="9" t="s">
        <v>1177</v>
      </c>
    </row>
    <row r="57" customFormat="false" ht="35.05" hidden="false" customHeight="false" outlineLevel="0" collapsed="false">
      <c r="A57" s="2" t="s">
        <v>868</v>
      </c>
      <c r="B57" s="2" t="s">
        <v>869</v>
      </c>
      <c r="C57" s="2" t="s">
        <v>792</v>
      </c>
      <c r="D57" s="2" t="s">
        <v>838</v>
      </c>
      <c r="E57" s="14" t="s">
        <v>1160</v>
      </c>
      <c r="F57" s="14" t="s">
        <v>1160</v>
      </c>
      <c r="G57" s="14" t="s">
        <v>1160</v>
      </c>
      <c r="H57" s="14" t="s">
        <v>1161</v>
      </c>
      <c r="I57" s="14" t="s">
        <v>1161</v>
      </c>
      <c r="J57" s="15" t="n">
        <f aca="false">(COUNTIF(E57:I57,"YES")+0.5*COUNTIF(E57:I57,"PARTIAL"))/5</f>
        <v>0.3</v>
      </c>
      <c r="K57" s="9" t="s">
        <v>1177</v>
      </c>
    </row>
    <row r="58" customFormat="false" ht="35.05" hidden="false" customHeight="false" outlineLevel="0" collapsed="false">
      <c r="A58" s="2" t="s">
        <v>872</v>
      </c>
      <c r="B58" s="2" t="s">
        <v>873</v>
      </c>
      <c r="C58" s="2" t="s">
        <v>792</v>
      </c>
      <c r="D58" s="2" t="s">
        <v>838</v>
      </c>
      <c r="E58" s="14" t="s">
        <v>1160</v>
      </c>
      <c r="F58" s="14" t="s">
        <v>1160</v>
      </c>
      <c r="G58" s="14" t="s">
        <v>1160</v>
      </c>
      <c r="H58" s="14" t="s">
        <v>1161</v>
      </c>
      <c r="I58" s="14" t="s">
        <v>1161</v>
      </c>
      <c r="J58" s="15" t="n">
        <f aca="false">(COUNTIF(E58:I58,"YES")+0.5*COUNTIF(E58:I58,"PARTIAL"))/5</f>
        <v>0.3</v>
      </c>
      <c r="K58" s="9" t="s">
        <v>1177</v>
      </c>
    </row>
    <row r="59" customFormat="false" ht="35.05" hidden="false" customHeight="false" outlineLevel="0" collapsed="false">
      <c r="A59" s="2" t="s">
        <v>876</v>
      </c>
      <c r="B59" s="2" t="s">
        <v>877</v>
      </c>
      <c r="C59" s="2" t="s">
        <v>792</v>
      </c>
      <c r="D59" s="2" t="s">
        <v>838</v>
      </c>
      <c r="E59" s="14" t="s">
        <v>1160</v>
      </c>
      <c r="F59" s="14" t="s">
        <v>1160</v>
      </c>
      <c r="G59" s="14" t="s">
        <v>1160</v>
      </c>
      <c r="H59" s="14" t="s">
        <v>1161</v>
      </c>
      <c r="I59" s="14" t="s">
        <v>1161</v>
      </c>
      <c r="J59" s="15" t="n">
        <f aca="false">(COUNTIF(E59:I59,"YES")+0.5*COUNTIF(E59:I59,"PARTIAL"))/5</f>
        <v>0.3</v>
      </c>
      <c r="K59" s="9" t="s">
        <v>1177</v>
      </c>
    </row>
    <row r="60" customFormat="false" ht="35.05" hidden="false" customHeight="false" outlineLevel="0" collapsed="false">
      <c r="A60" s="2" t="s">
        <v>880</v>
      </c>
      <c r="B60" s="2" t="s">
        <v>881</v>
      </c>
      <c r="C60" s="2" t="s">
        <v>792</v>
      </c>
      <c r="D60" s="2" t="s">
        <v>838</v>
      </c>
      <c r="E60" s="14" t="s">
        <v>1160</v>
      </c>
      <c r="F60" s="14" t="s">
        <v>1160</v>
      </c>
      <c r="G60" s="14" t="s">
        <v>1160</v>
      </c>
      <c r="H60" s="14" t="s">
        <v>1161</v>
      </c>
      <c r="I60" s="14" t="s">
        <v>1161</v>
      </c>
      <c r="J60" s="15" t="n">
        <f aca="false">(COUNTIF(E60:I60,"YES")+0.5*COUNTIF(E60:I60,"PARTIAL"))/5</f>
        <v>0.3</v>
      </c>
      <c r="K60" s="9" t="s">
        <v>1177</v>
      </c>
    </row>
    <row r="61" customFormat="false" ht="35.05" hidden="false" customHeight="false" outlineLevel="0" collapsed="false">
      <c r="A61" s="2" t="s">
        <v>884</v>
      </c>
      <c r="B61" s="2" t="s">
        <v>885</v>
      </c>
      <c r="C61" s="2" t="s">
        <v>792</v>
      </c>
      <c r="D61" s="2" t="s">
        <v>838</v>
      </c>
      <c r="E61" s="14" t="s">
        <v>1160</v>
      </c>
      <c r="F61" s="14" t="s">
        <v>1160</v>
      </c>
      <c r="G61" s="14" t="s">
        <v>1160</v>
      </c>
      <c r="H61" s="14" t="s">
        <v>1161</v>
      </c>
      <c r="I61" s="14" t="s">
        <v>1161</v>
      </c>
      <c r="J61" s="15" t="n">
        <f aca="false">(COUNTIF(E61:I61,"YES")+0.5*COUNTIF(E61:I61,"PARTIAL"))/5</f>
        <v>0.3</v>
      </c>
      <c r="K61" s="9" t="s">
        <v>1177</v>
      </c>
    </row>
    <row r="62" customFormat="false" ht="35.05" hidden="false" customHeight="false" outlineLevel="0" collapsed="false">
      <c r="A62" s="2" t="s">
        <v>888</v>
      </c>
      <c r="B62" s="2" t="s">
        <v>889</v>
      </c>
      <c r="C62" s="2" t="s">
        <v>792</v>
      </c>
      <c r="D62" s="2" t="s">
        <v>838</v>
      </c>
      <c r="E62" s="14" t="s">
        <v>1160</v>
      </c>
      <c r="F62" s="14" t="s">
        <v>1160</v>
      </c>
      <c r="G62" s="14" t="s">
        <v>1160</v>
      </c>
      <c r="H62" s="14" t="s">
        <v>1161</v>
      </c>
      <c r="I62" s="14" t="s">
        <v>1161</v>
      </c>
      <c r="J62" s="15" t="n">
        <f aca="false">(COUNTIF(E62:I62,"YES")+0.5*COUNTIF(E62:I62,"PARTIAL"))/5</f>
        <v>0.3</v>
      </c>
      <c r="K62" s="9" t="s">
        <v>1177</v>
      </c>
    </row>
    <row r="63" customFormat="false" ht="35.05" hidden="false" customHeight="false" outlineLevel="0" collapsed="false">
      <c r="A63" s="2" t="s">
        <v>892</v>
      </c>
      <c r="B63" s="2" t="s">
        <v>893</v>
      </c>
      <c r="C63" s="2" t="s">
        <v>792</v>
      </c>
      <c r="D63" s="2" t="s">
        <v>838</v>
      </c>
      <c r="E63" s="14" t="s">
        <v>1160</v>
      </c>
      <c r="F63" s="14" t="s">
        <v>1160</v>
      </c>
      <c r="G63" s="14" t="s">
        <v>1160</v>
      </c>
      <c r="H63" s="14" t="s">
        <v>1161</v>
      </c>
      <c r="I63" s="14" t="s">
        <v>1161</v>
      </c>
      <c r="J63" s="15" t="n">
        <f aca="false">(COUNTIF(E63:I63,"YES")+0.5*COUNTIF(E63:I63,"PARTIAL"))/5</f>
        <v>0.3</v>
      </c>
      <c r="K63" s="9" t="s">
        <v>1177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70"/>
  </cols>
  <sheetData>
    <row r="1" customFormat="false" ht="42" hidden="false" customHeight="true" outlineLevel="0" collapsed="false">
      <c r="A1" s="1" t="s">
        <v>1178</v>
      </c>
      <c r="B1" s="1" t="s">
        <v>1179</v>
      </c>
      <c r="C1" s="1" t="s">
        <v>1180</v>
      </c>
      <c r="D1" s="1" t="s">
        <v>1181</v>
      </c>
      <c r="E1" s="1" t="s">
        <v>1182</v>
      </c>
      <c r="F1" s="1" t="s">
        <v>1183</v>
      </c>
    </row>
    <row r="2" customFormat="false" ht="91" hidden="false" customHeight="false" outlineLevel="0" collapsed="false">
      <c r="A2" s="2" t="n">
        <v>1</v>
      </c>
      <c r="B2" s="2" t="s">
        <v>1184</v>
      </c>
      <c r="C2" s="9" t="s">
        <v>1185</v>
      </c>
      <c r="D2" s="3" t="s">
        <v>1186</v>
      </c>
      <c r="E2" s="2" t="s">
        <v>1187</v>
      </c>
      <c r="F2" s="9" t="s">
        <v>1188</v>
      </c>
    </row>
    <row r="3" customFormat="false" ht="35.05" hidden="false" customHeight="false" outlineLevel="0" collapsed="false">
      <c r="A3" s="2" t="n">
        <v>2</v>
      </c>
      <c r="B3" s="2" t="s">
        <v>1189</v>
      </c>
      <c r="C3" s="9" t="s">
        <v>1190</v>
      </c>
      <c r="D3" s="3" t="s">
        <v>1191</v>
      </c>
      <c r="E3" s="2" t="s">
        <v>1187</v>
      </c>
      <c r="F3" s="9" t="s">
        <v>1192</v>
      </c>
    </row>
    <row r="4" customFormat="false" ht="23.85" hidden="false" customHeight="false" outlineLevel="0" collapsed="false">
      <c r="A4" s="2" t="n">
        <v>3</v>
      </c>
      <c r="B4" s="2" t="s">
        <v>1193</v>
      </c>
      <c r="C4" s="9" t="s">
        <v>1194</v>
      </c>
      <c r="D4" s="3" t="s">
        <v>1195</v>
      </c>
      <c r="E4" s="2" t="s">
        <v>1187</v>
      </c>
      <c r="F4" s="9" t="s">
        <v>1196</v>
      </c>
    </row>
    <row r="5" customFormat="false" ht="15" hidden="false" customHeight="false" outlineLevel="0" collapsed="false">
      <c r="A5" s="2" t="n">
        <v>4</v>
      </c>
      <c r="B5" s="2" t="s">
        <v>1193</v>
      </c>
      <c r="C5" s="9" t="s">
        <v>1197</v>
      </c>
      <c r="D5" s="3" t="s">
        <v>1198</v>
      </c>
      <c r="E5" s="2" t="s">
        <v>1187</v>
      </c>
      <c r="F5" s="9" t="s">
        <v>1199</v>
      </c>
    </row>
    <row r="6" customFormat="false" ht="23.85" hidden="false" customHeight="false" outlineLevel="0" collapsed="false">
      <c r="A6" s="2" t="n">
        <v>5</v>
      </c>
      <c r="B6" s="2" t="s">
        <v>1193</v>
      </c>
      <c r="C6" s="9" t="s">
        <v>1200</v>
      </c>
      <c r="D6" s="3" t="s">
        <v>1201</v>
      </c>
      <c r="E6" s="2" t="s">
        <v>1187</v>
      </c>
      <c r="F6" s="9" t="s">
        <v>1202</v>
      </c>
    </row>
    <row r="7" customFormat="false" ht="23.85" hidden="false" customHeight="false" outlineLevel="0" collapsed="false">
      <c r="A7" s="2" t="n">
        <v>6</v>
      </c>
      <c r="B7" s="2" t="s">
        <v>1193</v>
      </c>
      <c r="C7" s="9" t="s">
        <v>1203</v>
      </c>
      <c r="D7" s="3" t="s">
        <v>1204</v>
      </c>
      <c r="E7" s="2" t="s">
        <v>1187</v>
      </c>
      <c r="F7" s="9" t="s">
        <v>1205</v>
      </c>
    </row>
    <row r="8" customFormat="false" ht="23.85" hidden="false" customHeight="false" outlineLevel="0" collapsed="false">
      <c r="A8" s="2" t="n">
        <v>7</v>
      </c>
      <c r="B8" s="2" t="s">
        <v>1193</v>
      </c>
      <c r="C8" s="9" t="s">
        <v>1206</v>
      </c>
      <c r="D8" s="3" t="s">
        <v>1207</v>
      </c>
      <c r="E8" s="2" t="s">
        <v>1187</v>
      </c>
      <c r="F8" s="9" t="s">
        <v>1208</v>
      </c>
    </row>
    <row r="9" customFormat="false" ht="23.85" hidden="false" customHeight="false" outlineLevel="0" collapsed="false">
      <c r="A9" s="2" t="n">
        <v>8</v>
      </c>
      <c r="B9" s="2" t="s">
        <v>1193</v>
      </c>
      <c r="C9" s="9" t="s">
        <v>1209</v>
      </c>
      <c r="D9" s="3" t="s">
        <v>1210</v>
      </c>
      <c r="E9" s="2" t="s">
        <v>1187</v>
      </c>
      <c r="F9" s="9" t="s">
        <v>1208</v>
      </c>
    </row>
    <row r="10" customFormat="false" ht="23.85" hidden="false" customHeight="false" outlineLevel="0" collapsed="false">
      <c r="A10" s="2" t="n">
        <v>9</v>
      </c>
      <c r="B10" s="2" t="s">
        <v>1193</v>
      </c>
      <c r="C10" s="9" t="s">
        <v>1211</v>
      </c>
      <c r="D10" s="3" t="s">
        <v>1212</v>
      </c>
      <c r="E10" s="2" t="s">
        <v>1187</v>
      </c>
      <c r="F10" s="9" t="s">
        <v>1208</v>
      </c>
    </row>
    <row r="11" customFormat="false" ht="23.85" hidden="false" customHeight="false" outlineLevel="0" collapsed="false">
      <c r="A11" s="2" t="n">
        <v>10</v>
      </c>
      <c r="B11" s="2" t="s">
        <v>1213</v>
      </c>
      <c r="C11" s="9" t="s">
        <v>1214</v>
      </c>
      <c r="D11" s="3" t="s">
        <v>38</v>
      </c>
      <c r="E11" s="2" t="s">
        <v>1187</v>
      </c>
      <c r="F11" s="9" t="s">
        <v>1215</v>
      </c>
    </row>
    <row r="12" customFormat="false" ht="23.85" hidden="false" customHeight="false" outlineLevel="0" collapsed="false">
      <c r="A12" s="2" t="n">
        <v>11</v>
      </c>
      <c r="B12" s="2" t="s">
        <v>1213</v>
      </c>
      <c r="C12" s="9" t="s">
        <v>1216</v>
      </c>
      <c r="D12" s="3" t="s">
        <v>62</v>
      </c>
      <c r="E12" s="2" t="s">
        <v>1187</v>
      </c>
      <c r="F12" s="9" t="s">
        <v>1215</v>
      </c>
    </row>
    <row r="13" customFormat="false" ht="23.85" hidden="false" customHeight="false" outlineLevel="0" collapsed="false">
      <c r="A13" s="2" t="n">
        <v>12</v>
      </c>
      <c r="B13" s="2" t="s">
        <v>1213</v>
      </c>
      <c r="C13" s="9" t="s">
        <v>1217</v>
      </c>
      <c r="D13" s="3" t="s">
        <v>86</v>
      </c>
      <c r="E13" s="2" t="s">
        <v>1187</v>
      </c>
      <c r="F13" s="9" t="s">
        <v>1215</v>
      </c>
    </row>
    <row r="14" customFormat="false" ht="23.85" hidden="false" customHeight="false" outlineLevel="0" collapsed="false">
      <c r="A14" s="2" t="n">
        <v>13</v>
      </c>
      <c r="B14" s="2" t="s">
        <v>1213</v>
      </c>
      <c r="C14" s="9" t="s">
        <v>1218</v>
      </c>
      <c r="D14" s="3" t="s">
        <v>109</v>
      </c>
      <c r="E14" s="2" t="s">
        <v>1187</v>
      </c>
      <c r="F14" s="9" t="s">
        <v>1215</v>
      </c>
    </row>
    <row r="15" customFormat="false" ht="23.85" hidden="false" customHeight="false" outlineLevel="0" collapsed="false">
      <c r="A15" s="2" t="n">
        <v>14</v>
      </c>
      <c r="B15" s="2" t="s">
        <v>1213</v>
      </c>
      <c r="C15" s="9" t="s">
        <v>1219</v>
      </c>
      <c r="D15" s="3" t="s">
        <v>132</v>
      </c>
      <c r="E15" s="2" t="s">
        <v>1187</v>
      </c>
      <c r="F15" s="9" t="s">
        <v>1215</v>
      </c>
    </row>
    <row r="16" customFormat="false" ht="23.85" hidden="false" customHeight="false" outlineLevel="0" collapsed="false">
      <c r="A16" s="2" t="n">
        <v>15</v>
      </c>
      <c r="B16" s="2" t="s">
        <v>1213</v>
      </c>
      <c r="C16" s="9" t="s">
        <v>1220</v>
      </c>
      <c r="D16" s="3" t="s">
        <v>154</v>
      </c>
      <c r="E16" s="2" t="s">
        <v>1187</v>
      </c>
      <c r="F16" s="9" t="s">
        <v>1215</v>
      </c>
    </row>
    <row r="17" customFormat="false" ht="23.85" hidden="false" customHeight="false" outlineLevel="0" collapsed="false">
      <c r="A17" s="2" t="n">
        <v>16</v>
      </c>
      <c r="B17" s="2" t="s">
        <v>1213</v>
      </c>
      <c r="C17" s="9" t="s">
        <v>1221</v>
      </c>
      <c r="D17" s="3" t="s">
        <v>177</v>
      </c>
      <c r="E17" s="2" t="s">
        <v>1187</v>
      </c>
      <c r="F17" s="9" t="s">
        <v>1215</v>
      </c>
    </row>
    <row r="18" customFormat="false" ht="23.85" hidden="false" customHeight="false" outlineLevel="0" collapsed="false">
      <c r="A18" s="2" t="n">
        <v>17</v>
      </c>
      <c r="B18" s="2" t="s">
        <v>1213</v>
      </c>
      <c r="C18" s="9" t="s">
        <v>1222</v>
      </c>
      <c r="D18" s="3" t="s">
        <v>349</v>
      </c>
      <c r="E18" s="2" t="s">
        <v>1187</v>
      </c>
      <c r="F18" s="9" t="s">
        <v>1215</v>
      </c>
    </row>
    <row r="19" customFormat="false" ht="23.85" hidden="false" customHeight="false" outlineLevel="0" collapsed="false">
      <c r="A19" s="2" t="n">
        <v>18</v>
      </c>
      <c r="B19" s="2" t="s">
        <v>1213</v>
      </c>
      <c r="C19" s="9" t="s">
        <v>1223</v>
      </c>
      <c r="D19" s="3" t="s">
        <v>369</v>
      </c>
      <c r="E19" s="2" t="s">
        <v>1187</v>
      </c>
      <c r="F19" s="9" t="s">
        <v>1215</v>
      </c>
    </row>
    <row r="20" customFormat="false" ht="23.85" hidden="false" customHeight="false" outlineLevel="0" collapsed="false">
      <c r="A20" s="2" t="n">
        <v>19</v>
      </c>
      <c r="B20" s="2" t="s">
        <v>1213</v>
      </c>
      <c r="C20" s="9" t="s">
        <v>1224</v>
      </c>
      <c r="D20" s="3" t="s">
        <v>386</v>
      </c>
      <c r="E20" s="2" t="s">
        <v>1187</v>
      </c>
      <c r="F20" s="9" t="s">
        <v>1215</v>
      </c>
    </row>
    <row r="21" customFormat="false" ht="23.85" hidden="false" customHeight="false" outlineLevel="0" collapsed="false">
      <c r="A21" s="2" t="n">
        <v>20</v>
      </c>
      <c r="B21" s="2" t="s">
        <v>1213</v>
      </c>
      <c r="C21" s="9" t="s">
        <v>1225</v>
      </c>
      <c r="D21" s="3" t="s">
        <v>401</v>
      </c>
      <c r="E21" s="2" t="s">
        <v>1187</v>
      </c>
      <c r="F21" s="9" t="s">
        <v>1215</v>
      </c>
    </row>
    <row r="22" customFormat="false" ht="23.85" hidden="false" customHeight="false" outlineLevel="0" collapsed="false">
      <c r="A22" s="2" t="n">
        <v>21</v>
      </c>
      <c r="B22" s="2" t="s">
        <v>1213</v>
      </c>
      <c r="C22" s="9" t="s">
        <v>1226</v>
      </c>
      <c r="D22" s="3" t="s">
        <v>416</v>
      </c>
      <c r="E22" s="2" t="s">
        <v>1187</v>
      </c>
      <c r="F22" s="9" t="s">
        <v>1215</v>
      </c>
    </row>
    <row r="23" customFormat="false" ht="23.85" hidden="false" customHeight="false" outlineLevel="0" collapsed="false">
      <c r="A23" s="2" t="n">
        <v>22</v>
      </c>
      <c r="B23" s="2" t="s">
        <v>1213</v>
      </c>
      <c r="C23" s="9" t="s">
        <v>1227</v>
      </c>
      <c r="D23" s="3" t="s">
        <v>429</v>
      </c>
      <c r="E23" s="2" t="s">
        <v>1187</v>
      </c>
      <c r="F23" s="9" t="s">
        <v>1215</v>
      </c>
    </row>
    <row r="24" customFormat="false" ht="23.85" hidden="false" customHeight="false" outlineLevel="0" collapsed="false">
      <c r="A24" s="2" t="n">
        <v>23</v>
      </c>
      <c r="B24" s="2" t="s">
        <v>1213</v>
      </c>
      <c r="C24" s="9" t="s">
        <v>1228</v>
      </c>
      <c r="D24" s="3" t="s">
        <v>445</v>
      </c>
      <c r="E24" s="2" t="s">
        <v>1187</v>
      </c>
      <c r="F24" s="9" t="s">
        <v>1215</v>
      </c>
    </row>
    <row r="25" customFormat="false" ht="23.85" hidden="false" customHeight="false" outlineLevel="0" collapsed="false">
      <c r="A25" s="2" t="n">
        <v>24</v>
      </c>
      <c r="B25" s="2" t="s">
        <v>1213</v>
      </c>
      <c r="C25" s="9" t="s">
        <v>1229</v>
      </c>
      <c r="D25" s="3" t="s">
        <v>463</v>
      </c>
      <c r="E25" s="2" t="s">
        <v>1187</v>
      </c>
      <c r="F25" s="9" t="s">
        <v>1215</v>
      </c>
    </row>
    <row r="26" customFormat="false" ht="23.85" hidden="false" customHeight="false" outlineLevel="0" collapsed="false">
      <c r="A26" s="2" t="n">
        <v>25</v>
      </c>
      <c r="B26" s="2" t="s">
        <v>1213</v>
      </c>
      <c r="C26" s="9" t="s">
        <v>1230</v>
      </c>
      <c r="D26" s="3" t="s">
        <v>478</v>
      </c>
      <c r="E26" s="2" t="s">
        <v>1187</v>
      </c>
      <c r="F26" s="9" t="s">
        <v>1215</v>
      </c>
    </row>
    <row r="27" customFormat="false" ht="23.85" hidden="false" customHeight="false" outlineLevel="0" collapsed="false">
      <c r="A27" s="2" t="n">
        <v>26</v>
      </c>
      <c r="B27" s="2" t="s">
        <v>1213</v>
      </c>
      <c r="C27" s="9" t="s">
        <v>1231</v>
      </c>
      <c r="D27" s="3" t="s">
        <v>491</v>
      </c>
      <c r="E27" s="2" t="s">
        <v>1187</v>
      </c>
      <c r="F27" s="9" t="s">
        <v>1215</v>
      </c>
    </row>
    <row r="28" customFormat="false" ht="23.85" hidden="false" customHeight="false" outlineLevel="0" collapsed="false">
      <c r="A28" s="2" t="n">
        <v>27</v>
      </c>
      <c r="B28" s="2" t="s">
        <v>1213</v>
      </c>
      <c r="C28" s="9" t="s">
        <v>1232</v>
      </c>
      <c r="D28" s="3" t="s">
        <v>505</v>
      </c>
      <c r="E28" s="2" t="s">
        <v>1187</v>
      </c>
      <c r="F28" s="9" t="s">
        <v>1215</v>
      </c>
    </row>
    <row r="29" customFormat="false" ht="23.85" hidden="false" customHeight="false" outlineLevel="0" collapsed="false">
      <c r="A29" s="2" t="n">
        <v>28</v>
      </c>
      <c r="B29" s="2" t="s">
        <v>1213</v>
      </c>
      <c r="C29" s="9" t="s">
        <v>1233</v>
      </c>
      <c r="D29" s="3" t="s">
        <v>519</v>
      </c>
      <c r="E29" s="2" t="s">
        <v>1187</v>
      </c>
      <c r="F29" s="9" t="s">
        <v>1215</v>
      </c>
    </row>
    <row r="30" customFormat="false" ht="23.85" hidden="false" customHeight="false" outlineLevel="0" collapsed="false">
      <c r="A30" s="2" t="n">
        <v>29</v>
      </c>
      <c r="B30" s="2" t="s">
        <v>1213</v>
      </c>
      <c r="C30" s="9" t="s">
        <v>1234</v>
      </c>
      <c r="D30" s="3" t="s">
        <v>534</v>
      </c>
      <c r="E30" s="2" t="s">
        <v>1187</v>
      </c>
      <c r="F30" s="9" t="s">
        <v>1215</v>
      </c>
    </row>
    <row r="31" customFormat="false" ht="23.85" hidden="false" customHeight="false" outlineLevel="0" collapsed="false">
      <c r="A31" s="2" t="n">
        <v>30</v>
      </c>
      <c r="B31" s="2" t="s">
        <v>1213</v>
      </c>
      <c r="C31" s="9" t="s">
        <v>1235</v>
      </c>
      <c r="D31" s="3" t="s">
        <v>546</v>
      </c>
      <c r="E31" s="2" t="s">
        <v>1187</v>
      </c>
      <c r="F31" s="9" t="s">
        <v>1215</v>
      </c>
    </row>
    <row r="32" customFormat="false" ht="23.85" hidden="false" customHeight="false" outlineLevel="0" collapsed="false">
      <c r="A32" s="2" t="n">
        <v>31</v>
      </c>
      <c r="B32" s="2" t="s">
        <v>1213</v>
      </c>
      <c r="C32" s="9" t="s">
        <v>1236</v>
      </c>
      <c r="D32" s="3" t="s">
        <v>557</v>
      </c>
      <c r="E32" s="2" t="s">
        <v>1187</v>
      </c>
      <c r="F32" s="9" t="s">
        <v>1215</v>
      </c>
    </row>
    <row r="33" customFormat="false" ht="23.85" hidden="false" customHeight="false" outlineLevel="0" collapsed="false">
      <c r="A33" s="2" t="n">
        <v>32</v>
      </c>
      <c r="B33" s="2" t="s">
        <v>1213</v>
      </c>
      <c r="C33" s="9" t="s">
        <v>1237</v>
      </c>
      <c r="D33" s="3" t="s">
        <v>570</v>
      </c>
      <c r="E33" s="2" t="s">
        <v>1187</v>
      </c>
      <c r="F33" s="9" t="s">
        <v>1215</v>
      </c>
    </row>
    <row r="34" customFormat="false" ht="23.85" hidden="false" customHeight="false" outlineLevel="0" collapsed="false">
      <c r="A34" s="2" t="n">
        <v>33</v>
      </c>
      <c r="B34" s="2" t="s">
        <v>1213</v>
      </c>
      <c r="C34" s="9" t="s">
        <v>1238</v>
      </c>
      <c r="D34" s="3" t="s">
        <v>583</v>
      </c>
      <c r="E34" s="2" t="s">
        <v>1187</v>
      </c>
      <c r="F34" s="9" t="s">
        <v>1215</v>
      </c>
    </row>
    <row r="35" customFormat="false" ht="23.85" hidden="false" customHeight="false" outlineLevel="0" collapsed="false">
      <c r="A35" s="2" t="n">
        <v>34</v>
      </c>
      <c r="B35" s="2" t="s">
        <v>1213</v>
      </c>
      <c r="C35" s="9" t="s">
        <v>1239</v>
      </c>
      <c r="D35" s="3" t="s">
        <v>595</v>
      </c>
      <c r="E35" s="2" t="s">
        <v>1187</v>
      </c>
      <c r="F35" s="9" t="s">
        <v>1215</v>
      </c>
    </row>
    <row r="36" customFormat="false" ht="23.85" hidden="false" customHeight="false" outlineLevel="0" collapsed="false">
      <c r="A36" s="2" t="n">
        <v>35</v>
      </c>
      <c r="B36" s="2" t="s">
        <v>1213</v>
      </c>
      <c r="C36" s="9" t="s">
        <v>1240</v>
      </c>
      <c r="D36" s="3" t="s">
        <v>612</v>
      </c>
      <c r="E36" s="2" t="s">
        <v>1187</v>
      </c>
      <c r="F36" s="9" t="s">
        <v>1215</v>
      </c>
    </row>
    <row r="37" customFormat="false" ht="23.85" hidden="false" customHeight="false" outlineLevel="0" collapsed="false">
      <c r="A37" s="2" t="n">
        <v>36</v>
      </c>
      <c r="B37" s="2" t="s">
        <v>1213</v>
      </c>
      <c r="C37" s="9" t="s">
        <v>1241</v>
      </c>
      <c r="D37" s="3" t="s">
        <v>626</v>
      </c>
      <c r="E37" s="2" t="s">
        <v>1187</v>
      </c>
      <c r="F37" s="9" t="s">
        <v>1215</v>
      </c>
    </row>
    <row r="38" customFormat="false" ht="23.85" hidden="false" customHeight="false" outlineLevel="0" collapsed="false">
      <c r="A38" s="2" t="n">
        <v>37</v>
      </c>
      <c r="B38" s="2" t="s">
        <v>1213</v>
      </c>
      <c r="C38" s="9" t="s">
        <v>1242</v>
      </c>
      <c r="D38" s="3" t="s">
        <v>639</v>
      </c>
      <c r="E38" s="2" t="s">
        <v>1187</v>
      </c>
      <c r="F38" s="9" t="s">
        <v>1215</v>
      </c>
    </row>
    <row r="39" customFormat="false" ht="23.85" hidden="false" customHeight="false" outlineLevel="0" collapsed="false">
      <c r="A39" s="2" t="n">
        <v>38</v>
      </c>
      <c r="B39" s="2" t="s">
        <v>1213</v>
      </c>
      <c r="C39" s="9" t="s">
        <v>1243</v>
      </c>
      <c r="D39" s="3" t="s">
        <v>656</v>
      </c>
      <c r="E39" s="2" t="s">
        <v>1187</v>
      </c>
      <c r="F39" s="9" t="s">
        <v>1215</v>
      </c>
    </row>
    <row r="40" customFormat="false" ht="23.85" hidden="false" customHeight="false" outlineLevel="0" collapsed="false">
      <c r="A40" s="2" t="n">
        <v>39</v>
      </c>
      <c r="B40" s="2" t="s">
        <v>1213</v>
      </c>
      <c r="C40" s="9" t="s">
        <v>1244</v>
      </c>
      <c r="D40" s="3" t="s">
        <v>670</v>
      </c>
      <c r="E40" s="2" t="s">
        <v>1187</v>
      </c>
      <c r="F40" s="9" t="s">
        <v>1215</v>
      </c>
    </row>
    <row r="41" customFormat="false" ht="23.85" hidden="false" customHeight="false" outlineLevel="0" collapsed="false">
      <c r="A41" s="2" t="n">
        <v>40</v>
      </c>
      <c r="B41" s="2" t="s">
        <v>1213</v>
      </c>
      <c r="C41" s="9" t="s">
        <v>1245</v>
      </c>
      <c r="D41" s="3" t="s">
        <v>683</v>
      </c>
      <c r="E41" s="2" t="s">
        <v>1187</v>
      </c>
      <c r="F41" s="9" t="s">
        <v>1215</v>
      </c>
    </row>
    <row r="42" customFormat="false" ht="23.85" hidden="false" customHeight="false" outlineLevel="0" collapsed="false">
      <c r="A42" s="2" t="n">
        <v>41</v>
      </c>
      <c r="B42" s="2" t="s">
        <v>1213</v>
      </c>
      <c r="C42" s="9" t="s">
        <v>1246</v>
      </c>
      <c r="D42" s="3" t="s">
        <v>697</v>
      </c>
      <c r="E42" s="2" t="s">
        <v>1187</v>
      </c>
      <c r="F42" s="9" t="s">
        <v>1215</v>
      </c>
    </row>
    <row r="43" customFormat="false" ht="23.85" hidden="false" customHeight="false" outlineLevel="0" collapsed="false">
      <c r="A43" s="2" t="n">
        <v>42</v>
      </c>
      <c r="B43" s="2" t="s">
        <v>1213</v>
      </c>
      <c r="C43" s="9" t="s">
        <v>1247</v>
      </c>
      <c r="D43" s="3" t="s">
        <v>710</v>
      </c>
      <c r="E43" s="2" t="s">
        <v>1187</v>
      </c>
      <c r="F43" s="9" t="s">
        <v>1215</v>
      </c>
    </row>
    <row r="44" customFormat="false" ht="23.85" hidden="false" customHeight="false" outlineLevel="0" collapsed="false">
      <c r="A44" s="2" t="n">
        <v>43</v>
      </c>
      <c r="B44" s="2" t="s">
        <v>1213</v>
      </c>
      <c r="C44" s="9" t="s">
        <v>1248</v>
      </c>
      <c r="D44" s="3" t="s">
        <v>723</v>
      </c>
      <c r="E44" s="2" t="s">
        <v>1187</v>
      </c>
      <c r="F44" s="9" t="s">
        <v>1215</v>
      </c>
    </row>
    <row r="45" customFormat="false" ht="23.85" hidden="false" customHeight="false" outlineLevel="0" collapsed="false">
      <c r="A45" s="2" t="n">
        <v>44</v>
      </c>
      <c r="B45" s="2" t="s">
        <v>1213</v>
      </c>
      <c r="C45" s="9" t="s">
        <v>1249</v>
      </c>
      <c r="D45" s="3" t="s">
        <v>737</v>
      </c>
      <c r="E45" s="2" t="s">
        <v>1187</v>
      </c>
      <c r="F45" s="9" t="s">
        <v>1215</v>
      </c>
    </row>
    <row r="46" customFormat="false" ht="23.85" hidden="false" customHeight="false" outlineLevel="0" collapsed="false">
      <c r="A46" s="2" t="n">
        <v>45</v>
      </c>
      <c r="B46" s="2" t="s">
        <v>1213</v>
      </c>
      <c r="C46" s="9" t="s">
        <v>1250</v>
      </c>
      <c r="D46" s="3" t="s">
        <v>749</v>
      </c>
      <c r="E46" s="2" t="s">
        <v>1187</v>
      </c>
      <c r="F46" s="9" t="s">
        <v>1215</v>
      </c>
    </row>
    <row r="47" customFormat="false" ht="23.85" hidden="false" customHeight="false" outlineLevel="0" collapsed="false">
      <c r="A47" s="2" t="n">
        <v>46</v>
      </c>
      <c r="B47" s="2" t="s">
        <v>1213</v>
      </c>
      <c r="C47" s="9" t="s">
        <v>1251</v>
      </c>
      <c r="D47" s="3" t="s">
        <v>761</v>
      </c>
      <c r="E47" s="2" t="s">
        <v>1187</v>
      </c>
      <c r="F47" s="9" t="s">
        <v>1215</v>
      </c>
    </row>
    <row r="48" customFormat="false" ht="23.85" hidden="false" customHeight="false" outlineLevel="0" collapsed="false">
      <c r="A48" s="2" t="n">
        <v>47</v>
      </c>
      <c r="B48" s="2" t="s">
        <v>1213</v>
      </c>
      <c r="C48" s="9" t="s">
        <v>1252</v>
      </c>
      <c r="D48" s="3" t="s">
        <v>775</v>
      </c>
      <c r="E48" s="2" t="s">
        <v>1187</v>
      </c>
      <c r="F48" s="9" t="s">
        <v>1215</v>
      </c>
    </row>
    <row r="49" customFormat="false" ht="23.85" hidden="false" customHeight="false" outlineLevel="0" collapsed="false">
      <c r="A49" s="2" t="n">
        <v>48</v>
      </c>
      <c r="B49" s="2" t="s">
        <v>1213</v>
      </c>
      <c r="C49" s="9" t="s">
        <v>1253</v>
      </c>
      <c r="D49" s="3" t="s">
        <v>791</v>
      </c>
      <c r="E49" s="2" t="s">
        <v>1187</v>
      </c>
      <c r="F49" s="9" t="s">
        <v>1254</v>
      </c>
    </row>
    <row r="50" customFormat="false" ht="23.85" hidden="false" customHeight="false" outlineLevel="0" collapsed="false">
      <c r="A50" s="2" t="n">
        <v>49</v>
      </c>
      <c r="B50" s="2" t="s">
        <v>1213</v>
      </c>
      <c r="C50" s="9" t="s">
        <v>1255</v>
      </c>
      <c r="D50" s="3" t="s">
        <v>799</v>
      </c>
      <c r="E50" s="2" t="s">
        <v>1187</v>
      </c>
      <c r="F50" s="9" t="s">
        <v>1254</v>
      </c>
    </row>
    <row r="51" customFormat="false" ht="23.85" hidden="false" customHeight="false" outlineLevel="0" collapsed="false">
      <c r="A51" s="2" t="n">
        <v>50</v>
      </c>
      <c r="B51" s="2" t="s">
        <v>1213</v>
      </c>
      <c r="C51" s="9" t="s">
        <v>1256</v>
      </c>
      <c r="D51" s="3" t="s">
        <v>805</v>
      </c>
      <c r="E51" s="2" t="s">
        <v>1187</v>
      </c>
      <c r="F51" s="9" t="s">
        <v>1254</v>
      </c>
    </row>
    <row r="52" customFormat="false" ht="23.85" hidden="false" customHeight="false" outlineLevel="0" collapsed="false">
      <c r="A52" s="2" t="n">
        <v>51</v>
      </c>
      <c r="B52" s="2" t="s">
        <v>1213</v>
      </c>
      <c r="C52" s="9" t="s">
        <v>1257</v>
      </c>
      <c r="D52" s="3" t="s">
        <v>811</v>
      </c>
      <c r="E52" s="2" t="s">
        <v>1187</v>
      </c>
      <c r="F52" s="9" t="s">
        <v>1254</v>
      </c>
    </row>
    <row r="53" customFormat="false" ht="23.85" hidden="false" customHeight="false" outlineLevel="0" collapsed="false">
      <c r="A53" s="2" t="n">
        <v>52</v>
      </c>
      <c r="B53" s="2" t="s">
        <v>1213</v>
      </c>
      <c r="C53" s="9" t="s">
        <v>1258</v>
      </c>
      <c r="D53" s="3" t="s">
        <v>816</v>
      </c>
      <c r="E53" s="2" t="s">
        <v>1187</v>
      </c>
      <c r="F53" s="9" t="s">
        <v>1254</v>
      </c>
    </row>
    <row r="54" customFormat="false" ht="23.85" hidden="false" customHeight="false" outlineLevel="0" collapsed="false">
      <c r="A54" s="2" t="n">
        <v>53</v>
      </c>
      <c r="B54" s="2" t="s">
        <v>1213</v>
      </c>
      <c r="C54" s="9" t="s">
        <v>1259</v>
      </c>
      <c r="D54" s="3" t="s">
        <v>821</v>
      </c>
      <c r="E54" s="2" t="s">
        <v>1187</v>
      </c>
      <c r="F54" s="9" t="s">
        <v>1254</v>
      </c>
    </row>
    <row r="55" customFormat="false" ht="23.85" hidden="false" customHeight="false" outlineLevel="0" collapsed="false">
      <c r="A55" s="2" t="n">
        <v>54</v>
      </c>
      <c r="B55" s="2" t="s">
        <v>1213</v>
      </c>
      <c r="C55" s="9" t="s">
        <v>1260</v>
      </c>
      <c r="D55" s="3" t="s">
        <v>825</v>
      </c>
      <c r="E55" s="2" t="s">
        <v>1187</v>
      </c>
      <c r="F55" s="9" t="s">
        <v>1254</v>
      </c>
    </row>
    <row r="56" customFormat="false" ht="23.85" hidden="false" customHeight="false" outlineLevel="0" collapsed="false">
      <c r="A56" s="2" t="n">
        <v>55</v>
      </c>
      <c r="B56" s="2" t="s">
        <v>1213</v>
      </c>
      <c r="C56" s="9" t="s">
        <v>1261</v>
      </c>
      <c r="D56" s="3" t="s">
        <v>829</v>
      </c>
      <c r="E56" s="2" t="s">
        <v>1187</v>
      </c>
      <c r="F56" s="9" t="s">
        <v>1254</v>
      </c>
    </row>
    <row r="57" customFormat="false" ht="23.85" hidden="false" customHeight="false" outlineLevel="0" collapsed="false">
      <c r="A57" s="2" t="n">
        <v>56</v>
      </c>
      <c r="B57" s="2" t="s">
        <v>1213</v>
      </c>
      <c r="C57" s="9" t="s">
        <v>1262</v>
      </c>
      <c r="D57" s="3" t="s">
        <v>833</v>
      </c>
      <c r="E57" s="2" t="s">
        <v>1187</v>
      </c>
      <c r="F57" s="9" t="s">
        <v>1254</v>
      </c>
    </row>
    <row r="58" customFormat="false" ht="23.85" hidden="false" customHeight="false" outlineLevel="0" collapsed="false">
      <c r="A58" s="2" t="n">
        <v>57</v>
      </c>
      <c r="B58" s="2" t="s">
        <v>1213</v>
      </c>
      <c r="C58" s="9" t="s">
        <v>1263</v>
      </c>
      <c r="D58" s="3" t="s">
        <v>837</v>
      </c>
      <c r="E58" s="2" t="s">
        <v>1187</v>
      </c>
      <c r="F58" s="9" t="s">
        <v>1264</v>
      </c>
    </row>
    <row r="59" customFormat="false" ht="23.85" hidden="false" customHeight="false" outlineLevel="0" collapsed="false">
      <c r="A59" s="2" t="n">
        <v>58</v>
      </c>
      <c r="B59" s="2" t="s">
        <v>1213</v>
      </c>
      <c r="C59" s="9" t="s">
        <v>1265</v>
      </c>
      <c r="D59" s="3" t="s">
        <v>842</v>
      </c>
      <c r="E59" s="2" t="s">
        <v>1187</v>
      </c>
      <c r="F59" s="9" t="s">
        <v>1264</v>
      </c>
    </row>
    <row r="60" customFormat="false" ht="23.85" hidden="false" customHeight="false" outlineLevel="0" collapsed="false">
      <c r="A60" s="2" t="n">
        <v>59</v>
      </c>
      <c r="B60" s="2" t="s">
        <v>1213</v>
      </c>
      <c r="C60" s="9" t="s">
        <v>1266</v>
      </c>
      <c r="D60" s="3" t="s">
        <v>846</v>
      </c>
      <c r="E60" s="2" t="s">
        <v>1187</v>
      </c>
      <c r="F60" s="9" t="s">
        <v>1264</v>
      </c>
    </row>
    <row r="61" customFormat="false" ht="23.85" hidden="false" customHeight="false" outlineLevel="0" collapsed="false">
      <c r="A61" s="2" t="n">
        <v>60</v>
      </c>
      <c r="B61" s="2" t="s">
        <v>1213</v>
      </c>
      <c r="C61" s="9" t="s">
        <v>1267</v>
      </c>
      <c r="D61" s="3" t="s">
        <v>850</v>
      </c>
      <c r="E61" s="2" t="s">
        <v>1187</v>
      </c>
      <c r="F61" s="9" t="s">
        <v>1264</v>
      </c>
    </row>
    <row r="62" customFormat="false" ht="23.85" hidden="false" customHeight="false" outlineLevel="0" collapsed="false">
      <c r="A62" s="2" t="n">
        <v>61</v>
      </c>
      <c r="B62" s="2" t="s">
        <v>1213</v>
      </c>
      <c r="C62" s="9" t="s">
        <v>1268</v>
      </c>
      <c r="D62" s="3" t="s">
        <v>854</v>
      </c>
      <c r="E62" s="2" t="s">
        <v>1187</v>
      </c>
      <c r="F62" s="9" t="s">
        <v>1264</v>
      </c>
    </row>
    <row r="63" customFormat="false" ht="23.85" hidden="false" customHeight="false" outlineLevel="0" collapsed="false">
      <c r="A63" s="2" t="n">
        <v>62</v>
      </c>
      <c r="B63" s="2" t="s">
        <v>1213</v>
      </c>
      <c r="C63" s="9" t="s">
        <v>1269</v>
      </c>
      <c r="D63" s="3" t="s">
        <v>858</v>
      </c>
      <c r="E63" s="2" t="s">
        <v>1187</v>
      </c>
      <c r="F63" s="9" t="s">
        <v>1264</v>
      </c>
    </row>
    <row r="64" customFormat="false" ht="23.85" hidden="false" customHeight="false" outlineLevel="0" collapsed="false">
      <c r="A64" s="2" t="n">
        <v>63</v>
      </c>
      <c r="B64" s="2" t="s">
        <v>1213</v>
      </c>
      <c r="C64" s="9" t="s">
        <v>1270</v>
      </c>
      <c r="D64" s="3" t="s">
        <v>862</v>
      </c>
      <c r="E64" s="2" t="s">
        <v>1187</v>
      </c>
      <c r="F64" s="9" t="s">
        <v>1264</v>
      </c>
    </row>
    <row r="65" customFormat="false" ht="23.85" hidden="false" customHeight="false" outlineLevel="0" collapsed="false">
      <c r="A65" s="2" t="n">
        <v>64</v>
      </c>
      <c r="B65" s="2" t="s">
        <v>1213</v>
      </c>
      <c r="C65" s="9" t="s">
        <v>1271</v>
      </c>
      <c r="D65" s="3" t="s">
        <v>866</v>
      </c>
      <c r="E65" s="2" t="s">
        <v>1187</v>
      </c>
      <c r="F65" s="9" t="s">
        <v>1264</v>
      </c>
    </row>
    <row r="66" customFormat="false" ht="23.85" hidden="false" customHeight="false" outlineLevel="0" collapsed="false">
      <c r="A66" s="2" t="n">
        <v>65</v>
      </c>
      <c r="B66" s="2" t="s">
        <v>1213</v>
      </c>
      <c r="C66" s="9" t="s">
        <v>1272</v>
      </c>
      <c r="D66" s="3" t="s">
        <v>870</v>
      </c>
      <c r="E66" s="2" t="s">
        <v>1187</v>
      </c>
      <c r="F66" s="9" t="s">
        <v>1264</v>
      </c>
    </row>
    <row r="67" customFormat="false" ht="23.85" hidden="false" customHeight="false" outlineLevel="0" collapsed="false">
      <c r="A67" s="2" t="n">
        <v>66</v>
      </c>
      <c r="B67" s="2" t="s">
        <v>1213</v>
      </c>
      <c r="C67" s="9" t="s">
        <v>1273</v>
      </c>
      <c r="D67" s="3" t="s">
        <v>874</v>
      </c>
      <c r="E67" s="2" t="s">
        <v>1187</v>
      </c>
      <c r="F67" s="9" t="s">
        <v>1264</v>
      </c>
    </row>
    <row r="68" customFormat="false" ht="23.85" hidden="false" customHeight="false" outlineLevel="0" collapsed="false">
      <c r="A68" s="2" t="n">
        <v>67</v>
      </c>
      <c r="B68" s="2" t="s">
        <v>1213</v>
      </c>
      <c r="C68" s="9" t="s">
        <v>1274</v>
      </c>
      <c r="D68" s="3" t="s">
        <v>878</v>
      </c>
      <c r="E68" s="2" t="s">
        <v>1187</v>
      </c>
      <c r="F68" s="9" t="s">
        <v>1264</v>
      </c>
    </row>
    <row r="69" customFormat="false" ht="23.85" hidden="false" customHeight="false" outlineLevel="0" collapsed="false">
      <c r="A69" s="2" t="n">
        <v>68</v>
      </c>
      <c r="B69" s="2" t="s">
        <v>1213</v>
      </c>
      <c r="C69" s="9" t="s">
        <v>1275</v>
      </c>
      <c r="D69" s="3" t="s">
        <v>882</v>
      </c>
      <c r="E69" s="2" t="s">
        <v>1187</v>
      </c>
      <c r="F69" s="9" t="s">
        <v>1264</v>
      </c>
    </row>
    <row r="70" customFormat="false" ht="23.85" hidden="false" customHeight="false" outlineLevel="0" collapsed="false">
      <c r="A70" s="2" t="n">
        <v>69</v>
      </c>
      <c r="B70" s="2" t="s">
        <v>1213</v>
      </c>
      <c r="C70" s="9" t="s">
        <v>1276</v>
      </c>
      <c r="D70" s="3" t="s">
        <v>886</v>
      </c>
      <c r="E70" s="2" t="s">
        <v>1187</v>
      </c>
      <c r="F70" s="9" t="s">
        <v>1264</v>
      </c>
    </row>
    <row r="71" customFormat="false" ht="23.85" hidden="false" customHeight="false" outlineLevel="0" collapsed="false">
      <c r="A71" s="2" t="n">
        <v>70</v>
      </c>
      <c r="B71" s="2" t="s">
        <v>1213</v>
      </c>
      <c r="C71" s="9" t="s">
        <v>1277</v>
      </c>
      <c r="D71" s="3" t="s">
        <v>890</v>
      </c>
      <c r="E71" s="2" t="s">
        <v>1187</v>
      </c>
      <c r="F71" s="9" t="s">
        <v>1264</v>
      </c>
    </row>
    <row r="72" customFormat="false" ht="23.85" hidden="false" customHeight="false" outlineLevel="0" collapsed="false">
      <c r="A72" s="2" t="n">
        <v>71</v>
      </c>
      <c r="B72" s="2" t="s">
        <v>1213</v>
      </c>
      <c r="C72" s="9" t="s">
        <v>1278</v>
      </c>
      <c r="D72" s="3" t="s">
        <v>894</v>
      </c>
      <c r="E72" s="2" t="s">
        <v>1187</v>
      </c>
      <c r="F72" s="9" t="s">
        <v>1264</v>
      </c>
    </row>
    <row r="73" customFormat="false" ht="15" hidden="false" customHeight="false" outlineLevel="0" collapsed="false">
      <c r="A73" s="2" t="n">
        <v>72</v>
      </c>
      <c r="B73" s="2" t="s">
        <v>1279</v>
      </c>
      <c r="C73" s="9" t="s">
        <v>1280</v>
      </c>
      <c r="D73" s="3" t="s">
        <v>1087</v>
      </c>
      <c r="E73" s="2" t="s">
        <v>1187</v>
      </c>
      <c r="F73" s="9" t="s">
        <v>1281</v>
      </c>
    </row>
    <row r="74" customFormat="false" ht="15" hidden="false" customHeight="false" outlineLevel="0" collapsed="false">
      <c r="A74" s="2" t="n">
        <v>73</v>
      </c>
      <c r="B74" s="2" t="s">
        <v>1279</v>
      </c>
      <c r="C74" s="9" t="s">
        <v>1280</v>
      </c>
      <c r="D74" s="3" t="s">
        <v>281</v>
      </c>
      <c r="E74" s="2" t="s">
        <v>1187</v>
      </c>
      <c r="F74" s="9" t="s">
        <v>1282</v>
      </c>
    </row>
    <row r="75" customFormat="false" ht="15" hidden="false" customHeight="false" outlineLevel="0" collapsed="false">
      <c r="A75" s="2" t="n">
        <v>74</v>
      </c>
      <c r="B75" s="2" t="s">
        <v>1279</v>
      </c>
      <c r="C75" s="9" t="s">
        <v>1280</v>
      </c>
      <c r="D75" s="3" t="s">
        <v>1283</v>
      </c>
      <c r="E75" s="2" t="s">
        <v>1187</v>
      </c>
      <c r="F75" s="9" t="s">
        <v>1284</v>
      </c>
    </row>
    <row r="76" customFormat="false" ht="15" hidden="false" customHeight="false" outlineLevel="0" collapsed="false">
      <c r="A76" s="2" t="n">
        <v>75</v>
      </c>
      <c r="B76" s="2" t="s">
        <v>1279</v>
      </c>
      <c r="C76" s="9" t="s">
        <v>1280</v>
      </c>
      <c r="D76" s="3" t="s">
        <v>1285</v>
      </c>
      <c r="E76" s="2" t="s">
        <v>1187</v>
      </c>
      <c r="F76" s="9" t="s">
        <v>1284</v>
      </c>
    </row>
    <row r="77" customFormat="false" ht="15" hidden="false" customHeight="false" outlineLevel="0" collapsed="false">
      <c r="A77" s="2" t="n">
        <v>76</v>
      </c>
      <c r="B77" s="2" t="s">
        <v>1279</v>
      </c>
      <c r="C77" s="9" t="s">
        <v>1280</v>
      </c>
      <c r="D77" s="3" t="s">
        <v>1042</v>
      </c>
      <c r="E77" s="2" t="s">
        <v>1187</v>
      </c>
      <c r="F77" s="9" t="s">
        <v>1286</v>
      </c>
    </row>
    <row r="78" customFormat="false" ht="15" hidden="false" customHeight="false" outlineLevel="0" collapsed="false">
      <c r="A78" s="2" t="n">
        <v>77</v>
      </c>
      <c r="B78" s="2" t="s">
        <v>1279</v>
      </c>
      <c r="C78" s="9" t="s">
        <v>1280</v>
      </c>
      <c r="D78" s="3" t="s">
        <v>1045</v>
      </c>
      <c r="E78" s="2" t="s">
        <v>1187</v>
      </c>
      <c r="F78" s="9" t="s">
        <v>1287</v>
      </c>
    </row>
    <row r="79" customFormat="false" ht="15" hidden="false" customHeight="false" outlineLevel="0" collapsed="false">
      <c r="A79" s="2" t="n">
        <v>78</v>
      </c>
      <c r="B79" s="2" t="s">
        <v>1279</v>
      </c>
      <c r="C79" s="9" t="s">
        <v>1288</v>
      </c>
      <c r="D79" s="3" t="s">
        <v>1092</v>
      </c>
      <c r="E79" s="2" t="s">
        <v>1187</v>
      </c>
      <c r="F79" s="9" t="s">
        <v>1281</v>
      </c>
    </row>
    <row r="80" customFormat="false" ht="15" hidden="false" customHeight="false" outlineLevel="0" collapsed="false">
      <c r="A80" s="2" t="n">
        <v>79</v>
      </c>
      <c r="B80" s="2" t="s">
        <v>1279</v>
      </c>
      <c r="C80" s="9" t="s">
        <v>1288</v>
      </c>
      <c r="D80" s="3" t="s">
        <v>291</v>
      </c>
      <c r="E80" s="2" t="s">
        <v>1187</v>
      </c>
      <c r="F80" s="9" t="s">
        <v>1289</v>
      </c>
    </row>
    <row r="81" customFormat="false" ht="15" hidden="false" customHeight="false" outlineLevel="0" collapsed="false">
      <c r="A81" s="2" t="n">
        <v>80</v>
      </c>
      <c r="B81" s="2" t="s">
        <v>1279</v>
      </c>
      <c r="C81" s="9" t="s">
        <v>1288</v>
      </c>
      <c r="D81" s="3" t="s">
        <v>293</v>
      </c>
      <c r="E81" s="2" t="s">
        <v>1187</v>
      </c>
      <c r="F81" s="9" t="s">
        <v>1284</v>
      </c>
    </row>
    <row r="82" customFormat="false" ht="15" hidden="false" customHeight="false" outlineLevel="0" collapsed="false">
      <c r="A82" s="2" t="n">
        <v>81</v>
      </c>
      <c r="B82" s="2" t="s">
        <v>1279</v>
      </c>
      <c r="C82" s="9" t="s">
        <v>1288</v>
      </c>
      <c r="D82" s="3" t="s">
        <v>1290</v>
      </c>
      <c r="E82" s="2" t="s">
        <v>1187</v>
      </c>
      <c r="F82" s="9" t="s">
        <v>1291</v>
      </c>
    </row>
    <row r="83" customFormat="false" ht="15" hidden="false" customHeight="false" outlineLevel="0" collapsed="false">
      <c r="A83" s="2" t="n">
        <v>82</v>
      </c>
      <c r="B83" s="2" t="s">
        <v>1279</v>
      </c>
      <c r="C83" s="9" t="s">
        <v>1288</v>
      </c>
      <c r="D83" s="3" t="s">
        <v>1292</v>
      </c>
      <c r="E83" s="2" t="s">
        <v>1187</v>
      </c>
      <c r="F83" s="9" t="s">
        <v>1293</v>
      </c>
    </row>
    <row r="84" customFormat="false" ht="15" hidden="false" customHeight="false" outlineLevel="0" collapsed="false">
      <c r="A84" s="2" t="n">
        <v>83</v>
      </c>
      <c r="B84" s="2" t="s">
        <v>1279</v>
      </c>
      <c r="C84" s="9" t="s">
        <v>1294</v>
      </c>
      <c r="D84" s="3" t="s">
        <v>302</v>
      </c>
      <c r="E84" s="2" t="s">
        <v>1187</v>
      </c>
      <c r="F84" s="9" t="s">
        <v>1282</v>
      </c>
    </row>
    <row r="85" customFormat="false" ht="15" hidden="false" customHeight="false" outlineLevel="0" collapsed="false">
      <c r="A85" s="2" t="n">
        <v>84</v>
      </c>
      <c r="B85" s="2" t="s">
        <v>1279</v>
      </c>
      <c r="C85" s="9" t="s">
        <v>1294</v>
      </c>
      <c r="D85" s="3" t="s">
        <v>1295</v>
      </c>
      <c r="E85" s="2" t="s">
        <v>1187</v>
      </c>
      <c r="F85" s="9" t="s">
        <v>1284</v>
      </c>
    </row>
    <row r="86" customFormat="false" ht="15" hidden="false" customHeight="false" outlineLevel="0" collapsed="false">
      <c r="A86" s="2" t="n">
        <v>85</v>
      </c>
      <c r="B86" s="2" t="s">
        <v>1279</v>
      </c>
      <c r="C86" s="9" t="s">
        <v>1294</v>
      </c>
      <c r="D86" s="3" t="s">
        <v>1296</v>
      </c>
      <c r="E86" s="2" t="s">
        <v>1187</v>
      </c>
      <c r="F86" s="9" t="s">
        <v>1297</v>
      </c>
    </row>
    <row r="87" customFormat="false" ht="15" hidden="false" customHeight="false" outlineLevel="0" collapsed="false">
      <c r="A87" s="2" t="n">
        <v>86</v>
      </c>
      <c r="B87" s="2" t="s">
        <v>1279</v>
      </c>
      <c r="C87" s="9" t="s">
        <v>1294</v>
      </c>
      <c r="D87" s="3" t="s">
        <v>1054</v>
      </c>
      <c r="E87" s="2" t="s">
        <v>1187</v>
      </c>
      <c r="F87" s="9" t="s">
        <v>1298</v>
      </c>
    </row>
    <row r="88" customFormat="false" ht="15" hidden="false" customHeight="false" outlineLevel="0" collapsed="false">
      <c r="A88" s="2" t="n">
        <v>87</v>
      </c>
      <c r="B88" s="2" t="s">
        <v>1279</v>
      </c>
      <c r="C88" s="9" t="s">
        <v>1294</v>
      </c>
      <c r="D88" s="3" t="s">
        <v>1299</v>
      </c>
      <c r="E88" s="2" t="s">
        <v>1187</v>
      </c>
      <c r="F88" s="9" t="s">
        <v>1300</v>
      </c>
    </row>
    <row r="89" customFormat="false" ht="15" hidden="false" customHeight="false" outlineLevel="0" collapsed="false">
      <c r="A89" s="2" t="n">
        <v>88</v>
      </c>
      <c r="B89" s="2" t="s">
        <v>1279</v>
      </c>
      <c r="C89" s="9" t="s">
        <v>1301</v>
      </c>
      <c r="D89" s="3" t="s">
        <v>1101</v>
      </c>
      <c r="E89" s="2" t="s">
        <v>1187</v>
      </c>
      <c r="F89" s="9" t="s">
        <v>1281</v>
      </c>
    </row>
    <row r="90" customFormat="false" ht="15" hidden="false" customHeight="false" outlineLevel="0" collapsed="false">
      <c r="A90" s="2" t="n">
        <v>89</v>
      </c>
      <c r="B90" s="2" t="s">
        <v>1279</v>
      </c>
      <c r="C90" s="9" t="s">
        <v>1301</v>
      </c>
      <c r="D90" s="3" t="s">
        <v>311</v>
      </c>
      <c r="E90" s="2" t="s">
        <v>1187</v>
      </c>
      <c r="F90" s="9" t="s">
        <v>1282</v>
      </c>
    </row>
    <row r="91" customFormat="false" ht="15" hidden="false" customHeight="false" outlineLevel="0" collapsed="false">
      <c r="A91" s="2" t="n">
        <v>90</v>
      </c>
      <c r="B91" s="2" t="s">
        <v>1279</v>
      </c>
      <c r="C91" s="9" t="s">
        <v>1301</v>
      </c>
      <c r="D91" s="3" t="s">
        <v>1014</v>
      </c>
      <c r="E91" s="2" t="s">
        <v>1187</v>
      </c>
      <c r="F91" s="9" t="s">
        <v>1302</v>
      </c>
    </row>
    <row r="92" customFormat="false" ht="15" hidden="false" customHeight="false" outlineLevel="0" collapsed="false">
      <c r="A92" s="2" t="n">
        <v>91</v>
      </c>
      <c r="B92" s="2" t="s">
        <v>1279</v>
      </c>
      <c r="C92" s="9" t="s">
        <v>1301</v>
      </c>
      <c r="D92" s="3" t="s">
        <v>1017</v>
      </c>
      <c r="E92" s="2" t="s">
        <v>1187</v>
      </c>
      <c r="F92" s="9" t="s">
        <v>1303</v>
      </c>
    </row>
    <row r="93" customFormat="false" ht="15" hidden="false" customHeight="false" outlineLevel="0" collapsed="false">
      <c r="A93" s="2" t="n">
        <v>92</v>
      </c>
      <c r="B93" s="2" t="s">
        <v>1279</v>
      </c>
      <c r="C93" s="9" t="s">
        <v>1301</v>
      </c>
      <c r="D93" s="3" t="s">
        <v>1022</v>
      </c>
      <c r="E93" s="2" t="s">
        <v>1187</v>
      </c>
      <c r="F93" s="9" t="s">
        <v>1304</v>
      </c>
    </row>
    <row r="94" customFormat="false" ht="15" hidden="false" customHeight="false" outlineLevel="0" collapsed="false">
      <c r="A94" s="2" t="n">
        <v>93</v>
      </c>
      <c r="B94" s="2" t="s">
        <v>1279</v>
      </c>
      <c r="C94" s="9" t="s">
        <v>1301</v>
      </c>
      <c r="D94" s="3" t="s">
        <v>1028</v>
      </c>
      <c r="E94" s="2" t="s">
        <v>1187</v>
      </c>
      <c r="F94" s="9" t="s">
        <v>1305</v>
      </c>
    </row>
    <row r="95" customFormat="false" ht="15" hidden="false" customHeight="false" outlineLevel="0" collapsed="false">
      <c r="A95" s="2" t="n">
        <v>94</v>
      </c>
      <c r="B95" s="2" t="s">
        <v>1279</v>
      </c>
      <c r="C95" s="9" t="s">
        <v>1306</v>
      </c>
      <c r="D95" s="3" t="s">
        <v>1106</v>
      </c>
      <c r="E95" s="2" t="s">
        <v>1187</v>
      </c>
      <c r="F95" s="9" t="s">
        <v>1281</v>
      </c>
    </row>
    <row r="96" customFormat="false" ht="15" hidden="false" customHeight="false" outlineLevel="0" collapsed="false">
      <c r="A96" s="2" t="n">
        <v>95</v>
      </c>
      <c r="B96" s="2" t="s">
        <v>1279</v>
      </c>
      <c r="C96" s="9" t="s">
        <v>1306</v>
      </c>
      <c r="D96" s="3" t="s">
        <v>321</v>
      </c>
      <c r="E96" s="2" t="s">
        <v>1187</v>
      </c>
      <c r="F96" s="9" t="s">
        <v>1282</v>
      </c>
    </row>
    <row r="97" customFormat="false" ht="15" hidden="false" customHeight="false" outlineLevel="0" collapsed="false">
      <c r="A97" s="2" t="n">
        <v>96</v>
      </c>
      <c r="B97" s="2" t="s">
        <v>1279</v>
      </c>
      <c r="C97" s="9" t="s">
        <v>1306</v>
      </c>
      <c r="D97" s="3" t="s">
        <v>1307</v>
      </c>
      <c r="E97" s="2" t="s">
        <v>1187</v>
      </c>
      <c r="F97" s="9" t="s">
        <v>1284</v>
      </c>
    </row>
    <row r="98" customFormat="false" ht="15" hidden="false" customHeight="false" outlineLevel="0" collapsed="false">
      <c r="A98" s="2" t="n">
        <v>97</v>
      </c>
      <c r="B98" s="2" t="s">
        <v>1279</v>
      </c>
      <c r="C98" s="9" t="s">
        <v>1306</v>
      </c>
      <c r="D98" s="3" t="s">
        <v>1308</v>
      </c>
      <c r="E98" s="2" t="s">
        <v>1187</v>
      </c>
      <c r="F98" s="9" t="s">
        <v>1284</v>
      </c>
    </row>
    <row r="99" customFormat="false" ht="15" hidden="false" customHeight="false" outlineLevel="0" collapsed="false">
      <c r="A99" s="2" t="n">
        <v>98</v>
      </c>
      <c r="B99" s="2" t="s">
        <v>1279</v>
      </c>
      <c r="C99" s="9" t="s">
        <v>1306</v>
      </c>
      <c r="D99" s="3" t="s">
        <v>1309</v>
      </c>
      <c r="E99" s="2" t="s">
        <v>1187</v>
      </c>
      <c r="F99" s="9" t="s">
        <v>1310</v>
      </c>
    </row>
    <row r="100" customFormat="false" ht="15" hidden="false" customHeight="false" outlineLevel="0" collapsed="false">
      <c r="A100" s="2" t="n">
        <v>99</v>
      </c>
      <c r="B100" s="2" t="s">
        <v>1279</v>
      </c>
      <c r="C100" s="9" t="s">
        <v>1306</v>
      </c>
      <c r="D100" s="3" t="s">
        <v>1311</v>
      </c>
      <c r="E100" s="2" t="s">
        <v>1187</v>
      </c>
      <c r="F100" s="9" t="s">
        <v>1312</v>
      </c>
    </row>
    <row r="101" customFormat="false" ht="15" hidden="false" customHeight="false" outlineLevel="0" collapsed="false">
      <c r="A101" s="2" t="n">
        <v>100</v>
      </c>
      <c r="B101" s="2" t="s">
        <v>1279</v>
      </c>
      <c r="C101" s="9" t="s">
        <v>1313</v>
      </c>
      <c r="D101" s="3" t="s">
        <v>1035</v>
      </c>
      <c r="E101" s="2" t="s">
        <v>1187</v>
      </c>
      <c r="F101" s="9" t="s">
        <v>1281</v>
      </c>
    </row>
    <row r="102" customFormat="false" ht="15" hidden="false" customHeight="false" outlineLevel="0" collapsed="false">
      <c r="A102" s="2" t="n">
        <v>101</v>
      </c>
      <c r="B102" s="2" t="s">
        <v>1279</v>
      </c>
      <c r="C102" s="9" t="s">
        <v>1313</v>
      </c>
      <c r="D102" s="3" t="s">
        <v>331</v>
      </c>
      <c r="E102" s="2" t="s">
        <v>1187</v>
      </c>
      <c r="F102" s="9" t="s">
        <v>1314</v>
      </c>
    </row>
    <row r="103" customFormat="false" ht="15" hidden="false" customHeight="false" outlineLevel="0" collapsed="false">
      <c r="A103" s="2" t="n">
        <v>102</v>
      </c>
      <c r="B103" s="2" t="s">
        <v>1279</v>
      </c>
      <c r="C103" s="9" t="s">
        <v>1313</v>
      </c>
      <c r="D103" s="3" t="s">
        <v>930</v>
      </c>
      <c r="E103" s="2" t="s">
        <v>1187</v>
      </c>
      <c r="F103" s="9" t="s">
        <v>1315</v>
      </c>
    </row>
    <row r="104" customFormat="false" ht="15" hidden="false" customHeight="false" outlineLevel="0" collapsed="false">
      <c r="A104" s="2" t="n">
        <v>103</v>
      </c>
      <c r="B104" s="2" t="s">
        <v>1279</v>
      </c>
      <c r="C104" s="9" t="s">
        <v>1313</v>
      </c>
      <c r="D104" s="3" t="s">
        <v>1316</v>
      </c>
      <c r="E104" s="2" t="s">
        <v>1187</v>
      </c>
      <c r="F104" s="9" t="s">
        <v>1317</v>
      </c>
    </row>
    <row r="105" customFormat="false" ht="15" hidden="false" customHeight="false" outlineLevel="0" collapsed="false">
      <c r="A105" s="2" t="n">
        <v>104</v>
      </c>
      <c r="B105" s="2" t="s">
        <v>1279</v>
      </c>
      <c r="C105" s="9" t="s">
        <v>1318</v>
      </c>
      <c r="D105" s="3" t="s">
        <v>1319</v>
      </c>
      <c r="E105" s="2" t="s">
        <v>1187</v>
      </c>
      <c r="F105" s="9" t="s">
        <v>1300</v>
      </c>
    </row>
    <row r="106" customFormat="false" ht="15" hidden="false" customHeight="false" outlineLevel="0" collapsed="false">
      <c r="A106" s="2" t="n">
        <v>105</v>
      </c>
      <c r="B106" s="2" t="s">
        <v>1279</v>
      </c>
      <c r="C106" s="9" t="s">
        <v>1318</v>
      </c>
      <c r="D106" s="3" t="s">
        <v>1320</v>
      </c>
      <c r="E106" s="2" t="s">
        <v>1187</v>
      </c>
      <c r="F106" s="9" t="s">
        <v>1284</v>
      </c>
    </row>
    <row r="107" customFormat="false" ht="15" hidden="false" customHeight="false" outlineLevel="0" collapsed="false">
      <c r="A107" s="2" t="n">
        <v>106</v>
      </c>
      <c r="B107" s="2" t="s">
        <v>1279</v>
      </c>
      <c r="C107" s="9" t="s">
        <v>1318</v>
      </c>
      <c r="D107" s="3" t="s">
        <v>339</v>
      </c>
      <c r="E107" s="2" t="s">
        <v>1187</v>
      </c>
      <c r="F107" s="9" t="s">
        <v>1321</v>
      </c>
    </row>
    <row r="108" customFormat="false" ht="15" hidden="false" customHeight="false" outlineLevel="0" collapsed="false">
      <c r="A108" s="2" t="n">
        <v>107</v>
      </c>
      <c r="B108" s="2" t="s">
        <v>1279</v>
      </c>
      <c r="C108" s="9" t="s">
        <v>1318</v>
      </c>
      <c r="D108" s="3" t="s">
        <v>341</v>
      </c>
      <c r="E108" s="2" t="s">
        <v>1187</v>
      </c>
      <c r="F108" s="9" t="s">
        <v>1284</v>
      </c>
    </row>
  </sheetData>
  <hyperlinks>
    <hyperlink ref="D2" r:id="rId1" display="https://www.instagram.com/"/>
    <hyperlink ref="D3" r:id="rId2" display="https://www.instagram.com/explore/"/>
    <hyperlink ref="D4" r:id="rId3" display="https://www.dexerto.com/tiktok/who-is-jean-phil-ai-character-behind-multimillion-dollar-meme-coin-sparks-fake-persona-trend-3412528/"/>
    <hyperlink ref="D5" r:id="rId4" display="https://www.dexerto.com/entertainment/who-is-benjamin-stachio-viral-triple-mustache-man-with-thick-neck-is-actually-an-ai-character-3414228/"/>
    <hyperlink ref="D6" r:id="rId5" display="https://www.sprites.ai/ai-characters"/>
    <hyperlink ref="D7" r:id="rId6" display="https://www.kucoin.com/news/insight/SOL/6ac4e7e938a264000792d4c5"/>
    <hyperlink ref="D8" r:id="rId7" display="https://www.ladbible.com/technology/benjamin-stachio-not-real-bar-dance-video-895227-20261002"/>
    <hyperlink ref="D9" r:id="rId8" display="https://earlygame.com/news/entertainment/this-influencer-doesnt-exist-jean-phil-leaves-the-internet-fooled"/>
    <hyperlink ref="D10" r:id="rId9" display="https://gensdinternet.fr/?p=46553"/>
    <hyperlink ref="D11" r:id="rId10" display="https://www.instagram.com/jean_philanthrope/"/>
    <hyperlink ref="D12" r:id="rId11" display="https://www.instagram.com/benjamin_stachio/"/>
    <hyperlink ref="D13" r:id="rId12" display="https://www.instagram.com/lord.farquaad.sol/"/>
    <hyperlink ref="D14" r:id="rId13" display="https://www.instagram.com/archibald_brown/"/>
    <hyperlink ref="D15" r:id="rId14" display="https://www.instagram.com/abu.shalab/"/>
    <hyperlink ref="D16" r:id="rId15" display="https://www.instagram.com/brigittemacaron_/"/>
    <hyperlink ref="D17" r:id="rId16" display="https://www.instagram.com/bill_smith_prince/"/>
    <hyperlink ref="D18" r:id="rId17" display="https://www.instagram.com/derek.mercer.2006/"/>
    <hyperlink ref="D19" r:id="rId18" display="https://www.instagram.com/abunuttyofficial/"/>
    <hyperlink ref="D20" r:id="rId19" display="https://www.instagram.com/casper.iggy/"/>
    <hyperlink ref="D21" r:id="rId20" display="https://www.instagram.com/candy.greyhound/"/>
    <hyperlink ref="D22" r:id="rId21" display="https://www.instagram.com/don.gorillo/"/>
    <hyperlink ref="D23" r:id="rId22" display="https://www.instagram.com/miltonbumford/"/>
    <hyperlink ref="D24" r:id="rId23" display="https://www.instagram.com/sickmanai/"/>
    <hyperlink ref="D25" r:id="rId24" display="https://www.instagram.com/ia.vacalha/"/>
    <hyperlink ref="D26" r:id="rId25" display="https://www.instagram.com/caramelinho.ia/"/>
    <hyperlink ref="D27" r:id="rId26" display="https://www.instagram.com/abu.yalla/"/>
    <hyperlink ref="D28" r:id="rId27" display="https://www.instagram.com/abdoul.cheqri/"/>
    <hyperlink ref="D29" r:id="rId28" display="https://www.instagram.com/percival_ashcrofttt/"/>
    <hyperlink ref="D30" r:id="rId29" display="https://www.instagram.com/edmond_lebon/"/>
    <hyperlink ref="D31" r:id="rId30" display="https://www.instagram.com/vuluzamal/"/>
    <hyperlink ref="D32" r:id="rId31" display="https://www.instagram.com/imranpoppadumb/"/>
    <hyperlink ref="D33" r:id="rId32" display="https://www.instagram.com/tony_ravioliano/"/>
    <hyperlink ref="D34" r:id="rId33" display="https://www.instagram.com/don_nuger/"/>
    <hyperlink ref="D35" r:id="rId34" display="https://www.instagram.com/mr._stretchy/"/>
    <hyperlink ref="D36" r:id="rId35" display="https://www.instagram.com/ms.stretchy/"/>
    <hyperlink ref="D37" r:id="rId36" display="https://www.instagram.com/pik.vik1/"/>
    <hyperlink ref="D38" r:id="rId37" display="https://www.instagram.com/lilmiquela/"/>
    <hyperlink ref="D39" r:id="rId38" display="https://www.instagram.com/grannyspills/"/>
    <hyperlink ref="D40" r:id="rId39" display="https://www.instagram.com/auntieauroraa/"/>
    <hyperlink ref="D41" r:id="rId40" display="https://www.instagram.com/nobodysausage/"/>
    <hyperlink ref="D42" r:id="rId41" display="https://www.instagram.com/fit_aitana/"/>
    <hyperlink ref="D43" r:id="rId42" display="https://www.instagram.com/imma.gram/"/>
    <hyperlink ref="D44" r:id="rId43" display="https://www.instagram.com/miazelu/"/>
    <hyperlink ref="D45" r:id="rId44" display="https://www.instagram.com/kyraonig/"/>
    <hyperlink ref="D46" r:id="rId45" display="https://www.instagram.com/shudu.gram/"/>
    <hyperlink ref="D47" r:id="rId46" display="https://www.instagram.com/bigfootvlog/"/>
    <hyperlink ref="D48" r:id="rId47" display="https://www.instagram.com/tillynorwood/"/>
    <hyperlink ref="D49" r:id="rId48" display="https://www.instagram.com/dequavious_von/"/>
    <hyperlink ref="D50" r:id="rId49" display="https://www.instagram.com/jadeorlhabit_/"/>
    <hyperlink ref="D51" r:id="rId50" display="https://www.instagram.com/evildogi/"/>
    <hyperlink ref="D52" r:id="rId51" display="https://www.instagram.com/mr_twirlo/"/>
    <hyperlink ref="D53" r:id="rId52" display="https://www.instagram.com/keekoiman/"/>
    <hyperlink ref="D54" r:id="rId53" display="https://www.instagram.com/lutherlongford/"/>
    <hyperlink ref="D55" r:id="rId54" display="https://www.instagram.com/itsarchiepimm/"/>
    <hyperlink ref="D56" r:id="rId55" display="https://www.instagram.com/abdulbigote/"/>
    <hyperlink ref="D57" r:id="rId56" display="https://www.instagram.com/nigelbattofficial/"/>
    <hyperlink ref="D58" r:id="rId57" display="https://www.instagram.com/jeanphilanthrope.co/"/>
    <hyperlink ref="D59" r:id="rId58" display="https://www.instagram.com/brigitte_macaron_/"/>
    <hyperlink ref="D60" r:id="rId59" display="https://www.instagram.com/phil_john_jean/"/>
    <hyperlink ref="D61" r:id="rId60" display="https://www.instagram.com/noonoouri/"/>
    <hyperlink ref="D62" r:id="rId61" display="https://www.instagram.com/rozy.gram/"/>
    <hyperlink ref="D63" r:id="rId62" display="https://www.instagram.com/blawko22/"/>
    <hyperlink ref="D64" r:id="rId63" display="https://www.instagram.com/bermudaisbae/"/>
    <hyperlink ref="D65" r:id="rId64" display="https://www.instagram.com/lafeve7/"/>
    <hyperlink ref="D66" r:id="rId65" display="https://www.instagram.com/the_grandshow/"/>
    <hyperlink ref="D67" r:id="rId66" display="https://www.instagram.com/bunnychaosai/"/>
    <hyperlink ref="D68" r:id="rId67" display="https://www.instagram.com/general.shavin/"/>
    <hyperlink ref="D69" r:id="rId68" display="https://www.instagram.com/phantompaws.co/"/>
    <hyperlink ref="D70" r:id="rId69" display="https://www.instagram.com/marcel_philan/"/>
    <hyperlink ref="D71" r:id="rId70" display="https://www.instagram.com/knox_frost/"/>
    <hyperlink ref="D72" r:id="rId71" display="https://www.instagram.com/emily.pellegrini/"/>
    <hyperlink ref="D73" r:id="rId72" display="https://www.instagram.com/p/DdZ3IkKiiXx/"/>
    <hyperlink ref="D74" r:id="rId73" display="https://www.instagram.com/p/Ddb0QUyqnhG/"/>
    <hyperlink ref="D75" r:id="rId74" display="https://www.instagram.com/p/Ddb4D8_qH_E/"/>
    <hyperlink ref="D76" r:id="rId75" display="https://www.instagram.com/p/DdeBU0CK14n/"/>
    <hyperlink ref="D77" r:id="rId76" display="https://www.instagram.com/p/DeMqmuiiY6J/"/>
    <hyperlink ref="D78" r:id="rId77" display="https://www.instagram.com/p/Dd_4AYBiSwh/"/>
    <hyperlink ref="D79" r:id="rId78" display="https://www.instagram.com/p/DdzqxONPLaG/"/>
    <hyperlink ref="D80" r:id="rId79" display="https://www.instagram.com/p/Dd2joiwTDJv/"/>
    <hyperlink ref="D81" r:id="rId80" display="https://www.instagram.com/p/Dd4BE9nMR7M/"/>
    <hyperlink ref="D82" r:id="rId81" display="https://www.instagram.com/p/DeMs_zftQSm/"/>
    <hyperlink ref="D83" r:id="rId82" display="https://www.instagram.com/p/DeMc0YJBHjU/"/>
    <hyperlink ref="D84" r:id="rId83" display="https://www.instagram.com/p/DdwhswgBSFq/"/>
    <hyperlink ref="D85" r:id="rId84" display="https://www.instagram.com/p/Ddzz7F1hYlR/"/>
    <hyperlink ref="D86" r:id="rId85" display="https://www.instagram.com/p/Dd4wdxZh3fs/"/>
    <hyperlink ref="D87" r:id="rId86" display="https://www.instagram.com/p/DeOsvhjhDoP/"/>
    <hyperlink ref="D88" r:id="rId87" display="https://www.instagram.com/p/DdvPCA8hQ63/"/>
    <hyperlink ref="D89" r:id="rId88" display="https://www.instagram.com/p/Ddhr_xBsuRK/"/>
    <hyperlink ref="D90" r:id="rId89" display="https://www.instagram.com/p/DdmQOpyMNfr/"/>
    <hyperlink ref="D91" r:id="rId90" display="https://www.instagram.com/p/Ddlj-kosQ2h/"/>
    <hyperlink ref="D92" r:id="rId91" display="https://www.instagram.com/p/DeIXFGUMxmL/"/>
    <hyperlink ref="D93" r:id="rId92" display="https://www.instagram.com/p/DeIXZFdsCGd/"/>
    <hyperlink ref="D94" r:id="rId93" display="https://www.instagram.com/p/DdmINpvsuGs/"/>
    <hyperlink ref="D95" r:id="rId94" display="https://www.instagram.com/p/DduMth6NxfU/"/>
    <hyperlink ref="D96" r:id="rId95" display="https://www.instagram.com/p/Dduf1zGNri-/"/>
    <hyperlink ref="D97" r:id="rId96" display="https://www.instagram.com/p/DdxCLS5NMRz/"/>
    <hyperlink ref="D98" r:id="rId97" display="https://www.instagram.com/p/DdyLrNpt3UU/"/>
    <hyperlink ref="D99" r:id="rId98" display="https://www.instagram.com/p/DdzcjsYtSxs/"/>
    <hyperlink ref="D100" r:id="rId99" display="https://www.instagram.com/p/DeAn0u0Dc9M/"/>
    <hyperlink ref="D101" r:id="rId100" display="https://www.instagram.com/p/DdwN0y8t_Xg/"/>
    <hyperlink ref="D102" r:id="rId101" display="https://www.instagram.com/p/DeEZ0sEN_Hy/"/>
    <hyperlink ref="D103" r:id="rId102" display="https://www.instagram.com/p/Dd6t_drNhuS/"/>
    <hyperlink ref="D104" r:id="rId103" display="https://www.instagram.com/p/Dd6B7oYNEhb/"/>
    <hyperlink ref="D105" r:id="rId104" display="https://www.instagram.com/p/DdmSujhN2mt/"/>
    <hyperlink ref="D106" r:id="rId105" display="https://www.instagram.com/p/DdoPdKptxDF/"/>
    <hyperlink ref="D107" r:id="rId106" display="https://www.instagram.com/p/Ddqo1FvtNyH/"/>
    <hyperlink ref="D108" r:id="rId107" display="https://www.instagram.com/p/DdtyIBLt2oE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9" min="5" style="0" width="9"/>
    <col collapsed="false" customWidth="true" hidden="false" outlineLevel="0" max="11" min="10" style="0" width="50"/>
    <col collapsed="false" customWidth="true" hidden="false" outlineLevel="0" max="12" min="12" style="0" width="34"/>
  </cols>
  <sheetData>
    <row r="1" customFormat="false" ht="42" hidden="false" customHeight="true" outlineLevel="0" collapsed="false">
      <c r="A1" s="1" t="s">
        <v>896</v>
      </c>
      <c r="B1" s="1" t="s">
        <v>199</v>
      </c>
      <c r="C1" s="1" t="s">
        <v>200</v>
      </c>
      <c r="D1" s="1" t="s">
        <v>202</v>
      </c>
      <c r="E1" s="1" t="s">
        <v>897</v>
      </c>
      <c r="F1" s="1" t="s">
        <v>249</v>
      </c>
      <c r="G1" s="1" t="s">
        <v>250</v>
      </c>
      <c r="H1" s="1" t="s">
        <v>251</v>
      </c>
      <c r="I1" s="1" t="s">
        <v>252</v>
      </c>
      <c r="J1" s="1" t="s">
        <v>245</v>
      </c>
      <c r="K1" s="1" t="s">
        <v>244</v>
      </c>
      <c r="L1" s="1" t="s">
        <v>201</v>
      </c>
    </row>
    <row r="2" customFormat="false" ht="46.25" hidden="false" customHeight="false" outlineLevel="0" collapsed="false">
      <c r="A2" s="2" t="n">
        <v>1</v>
      </c>
      <c r="B2" s="6" t="str">
        <f aca="false">INDEX('ALL CANDIDATES'!$B$2:$B$63,MATCH(LARGE('ALL CANDIDATES'!$BV$2:$BV$63,$A2),'ALL CANDIDATES'!$BV$2:$BV$63,0))</f>
        <v>Jean Phil</v>
      </c>
      <c r="C2" s="6" t="str">
        <f aca="false">INDEX('ALL CANDIDATES'!$C$2:$C$63,MATCH(LARGE('ALL CANDIDATES'!$BV$2:$BV$63,$A2),'ALL CANDIDATES'!$BV$2:$BV$63,0))</f>
        <v>jean_philanthrope</v>
      </c>
      <c r="D2" s="6" t="str">
        <f aca="false">INDEX('ALL CANDIDATES'!$E$2:$E$63,MATCH(LARGE('ALL CANDIDATES'!$BV$2:$BV$63,$A2),'ALL CANDIDATES'!$BV$2:$BV$63,0))</f>
        <v>SEED</v>
      </c>
      <c r="E2" s="6" t="n">
        <f aca="false">INDEX('ALL CANDIDATES'!$BQ$2:$BQ$63,MATCH(LARGE('ALL CANDIDATES'!$BV$2:$BV$63,$A2),'ALL CANDIDATES'!$BV$2:$BV$63,0))</f>
        <v>95</v>
      </c>
      <c r="F2" s="20" t="n">
        <f aca="false">INDEX('ALL CANDIDATES'!$AZ$2:$AZ$63,MATCH(LARGE('ALL CANDIDATES'!$BV$2:$BV$63,$A2),'ALL CANDIDATES'!$BV$2:$BV$63,0))</f>
        <v>5</v>
      </c>
      <c r="G2" s="20" t="n">
        <f aca="false">INDEX('ALL CANDIDATES'!$BA$2:$BA$63,MATCH(LARGE('ALL CANDIDATES'!$BV$2:$BV$63,$A2),'ALL CANDIDATES'!$BV$2:$BV$63,0))</f>
        <v>5</v>
      </c>
      <c r="H2" s="20" t="n">
        <f aca="false">INDEX('ALL CANDIDATES'!$BB$2:$BB$63,MATCH(LARGE('ALL CANDIDATES'!$BV$2:$BV$63,$A2),'ALL CANDIDATES'!$BV$2:$BV$63,0))</f>
        <v>4</v>
      </c>
      <c r="I2" s="20" t="n">
        <f aca="false">INDEX('ALL CANDIDATES'!$BC$2:$BC$63,MATCH(LARGE('ALL CANDIDATES'!$BV$2:$BV$63,$A2),'ALL CANDIDATES'!$BV$2:$BV$63,0))</f>
        <v>5</v>
      </c>
      <c r="J2" s="20" t="str">
        <f aca="false">INDEX('ALL CANDIDATES'!$AV$2:$AV$63,MATCH(LARGE('ALL CANDIDATES'!$BV$2:$BV$63,$A2),'ALL CANDIDATES'!$BV$2:$BV$63,0))</f>
        <v>OBSERVED (grid screenshot): blond bowl/bob haircut, curled moustache, freckles, brown tweed suit + tie; real-world Paris locations</v>
      </c>
      <c r="K2" s="20" t="str">
        <f aca="false">INDEX('ALL CANDIDATES'!$AU$2:$AU$63,MATCH(LARGE('ALL CANDIDATES'!$BV$2:$BV$63,$A2),'ALL CANDIDATES'!$BV$2:$BV$63,0))</f>
        <v>OBSERVED: catchphrase 'Oui Madame.'; French captions; shadowboxing ('Jab, crochet. T'as senti le danger?'). INFERRED: suave, deadpan French gentleman-fighter / ladies' man</v>
      </c>
      <c r="L2" s="20" t="str">
        <f aca="false">INDEX('ALL CANDIDATES'!$D$2:$D$63,MATCH(LARGE('ALL CANDIDATES'!$BV$2:$BV$63,$A2),'ALL CANDIDATES'!$BV$2:$BV$63,0))</f>
        <v>https://www.instagram.com/jean_philanthrope/</v>
      </c>
    </row>
    <row r="3" customFormat="false" ht="46.25" hidden="false" customHeight="false" outlineLevel="0" collapsed="false">
      <c r="A3" s="2" t="n">
        <v>2</v>
      </c>
      <c r="B3" s="6" t="str">
        <f aca="false">INDEX('ALL CANDIDATES'!$B$2:$B$63,MATCH(LARGE('ALL CANDIDATES'!$BV$2:$BV$63,$A3),'ALL CANDIDATES'!$BV$2:$BV$63,0))</f>
        <v>Archibald Brown</v>
      </c>
      <c r="C3" s="6" t="str">
        <f aca="false">INDEX('ALL CANDIDATES'!$C$2:$C$63,MATCH(LARGE('ALL CANDIDATES'!$BV$2:$BV$63,$A3),'ALL CANDIDATES'!$BV$2:$BV$63,0))</f>
        <v>archibald_brown</v>
      </c>
      <c r="D3" s="6" t="str">
        <f aca="false">INDEX('ALL CANDIDATES'!$E$2:$E$63,MATCH(LARGE('ALL CANDIDATES'!$BV$2:$BV$63,$A3),'ALL CANDIDATES'!$BV$2:$BV$63,0))</f>
        <v>SEED</v>
      </c>
      <c r="E3" s="6" t="n">
        <f aca="false">INDEX('ALL CANDIDATES'!$BQ$2:$BQ$63,MATCH(LARGE('ALL CANDIDATES'!$BV$2:$BV$63,$A3),'ALL CANDIDATES'!$BV$2:$BV$63,0))</f>
        <v>90</v>
      </c>
      <c r="F3" s="20" t="n">
        <f aca="false">INDEX('ALL CANDIDATES'!$AZ$2:$AZ$63,MATCH(LARGE('ALL CANDIDATES'!$BV$2:$BV$63,$A3),'ALL CANDIDATES'!$BV$2:$BV$63,0))</f>
        <v>4</v>
      </c>
      <c r="G3" s="20" t="n">
        <f aca="false">INDEX('ALL CANDIDATES'!$BA$2:$BA$63,MATCH(LARGE('ALL CANDIDATES'!$BV$2:$BV$63,$A3),'ALL CANDIDATES'!$BV$2:$BV$63,0))</f>
        <v>4</v>
      </c>
      <c r="H3" s="20" t="n">
        <f aca="false">INDEX('ALL CANDIDATES'!$BB$2:$BB$63,MATCH(LARGE('ALL CANDIDATES'!$BV$2:$BV$63,$A3),'ALL CANDIDATES'!$BV$2:$BV$63,0))</f>
        <v>5</v>
      </c>
      <c r="I3" s="20" t="n">
        <f aca="false">INDEX('ALL CANDIDATES'!$BC$2:$BC$63,MATCH(LARGE('ALL CANDIDATES'!$BV$2:$BV$63,$A3),'ALL CANDIDATES'!$BV$2:$BV$63,0))</f>
        <v>5</v>
      </c>
      <c r="J3" s="20" t="str">
        <f aca="false">INDEX('ALL CANDIDATES'!$AV$2:$AV$63,MATCH(LARGE('ALL CANDIDATES'!$BV$2:$BV$63,$A3),'ALL CANDIDATES'!$BV$2:$BV$63,0))</f>
        <v>OBSERVED: chestnut bowl cut, thin moustache, beige suit + tie; pinned UFC-contract photo; staged photo with a Mike Tyson likeness</v>
      </c>
      <c r="K3" s="20" t="str">
        <f aca="false">INDEX('ALL CANDIDATES'!$AU$2:$AU$63,MATCH(LARGE('ALL CANDIDATES'!$BV$2:$BV$63,$A3),'ALL CANDIDATES'!$BV$2:$BV$63,0))</f>
        <v>OBSERVED: coaching/fight talk ('101 on throwing hands', 'Quick 101'), call-outs ('@jean_philanthrope come to London and find out…'). INFERRED: cocky London boxer, Jean Phil's nemesis</v>
      </c>
      <c r="L3" s="20" t="str">
        <f aca="false">INDEX('ALL CANDIDATES'!$D$2:$D$63,MATCH(LARGE('ALL CANDIDATES'!$BV$2:$BV$63,$A3),'ALL CANDIDATES'!$BV$2:$BV$63,0))</f>
        <v>https://www.instagram.com/archibald_brown/</v>
      </c>
    </row>
    <row r="4" customFormat="false" ht="23.85" hidden="false" customHeight="false" outlineLevel="0" collapsed="false">
      <c r="A4" s="2" t="n">
        <v>3</v>
      </c>
      <c r="B4" s="6" t="str">
        <f aca="false">INDEX('ALL CANDIDATES'!$B$2:$B$63,MATCH(LARGE('ALL CANDIDATES'!$BV$2:$BV$63,$A4),'ALL CANDIDATES'!$BV$2:$BV$63,0))</f>
        <v>Abu Nutty</v>
      </c>
      <c r="C4" s="6" t="str">
        <f aca="false">INDEX('ALL CANDIDATES'!$C$2:$C$63,MATCH(LARGE('ALL CANDIDATES'!$BV$2:$BV$63,$A4),'ALL CANDIDATES'!$BV$2:$BV$63,0))</f>
        <v>abunuttyofficial</v>
      </c>
      <c r="D4" s="6" t="str">
        <f aca="false">INDEX('ALL CANDIDATES'!$E$2:$E$63,MATCH(LARGE('ALL CANDIDATES'!$BV$2:$BV$63,$A4),'ALL CANDIDATES'!$BV$2:$BV$63,0))</f>
        <v>DISCOVERED</v>
      </c>
      <c r="E4" s="6" t="n">
        <f aca="false">INDEX('ALL CANDIDATES'!$BQ$2:$BQ$63,MATCH(LARGE('ALL CANDIDATES'!$BV$2:$BV$63,$A4),'ALL CANDIDATES'!$BV$2:$BV$63,0))</f>
        <v>90</v>
      </c>
      <c r="F4" s="20" t="n">
        <f aca="false">INDEX('ALL CANDIDATES'!$AZ$2:$AZ$63,MATCH(LARGE('ALL CANDIDATES'!$BV$2:$BV$63,$A4),'ALL CANDIDATES'!$BV$2:$BV$63,0))</f>
        <v>4</v>
      </c>
      <c r="G4" s="20" t="n">
        <f aca="false">INDEX('ALL CANDIDATES'!$BA$2:$BA$63,MATCH(LARGE('ALL CANDIDATES'!$BV$2:$BV$63,$A4),'ALL CANDIDATES'!$BV$2:$BV$63,0))</f>
        <v>4</v>
      </c>
      <c r="H4" s="20" t="n">
        <f aca="false">INDEX('ALL CANDIDATES'!$BB$2:$BB$63,MATCH(LARGE('ALL CANDIDATES'!$BV$2:$BV$63,$A4),'ALL CANDIDATES'!$BV$2:$BV$63,0))</f>
        <v>5</v>
      </c>
      <c r="I4" s="20" t="n">
        <f aca="false">INDEX('ALL CANDIDATES'!$BC$2:$BC$63,MATCH(LARGE('ALL CANDIDATES'!$BV$2:$BV$63,$A4),'ALL CANDIDATES'!$BV$2:$BV$63,0))</f>
        <v>5</v>
      </c>
      <c r="J4" s="20" t="str">
        <f aca="false">INDEX('ALL CANDIDATES'!$AV$2:$AV$63,MATCH(LARGE('ALL CANDIDATES'!$BV$2:$BV$63,$A4),'ALL CANDIDATES'!$BV$2:$BV$63,0))</f>
        <v>INFERRED from captions: monkey fighter in UFC-style settings</v>
      </c>
      <c r="K4" s="20" t="str">
        <f aca="false">INDEX('ALL CANDIDATES'!$AU$2:$AU$63,MATCH(LARGE('ALL CANDIDATES'!$BV$2:$BV$63,$A4),'ALL CANDIDATES'!$BV$2:$BV$63,0))</f>
        <v>OBSERVED: fight-record persona ('TIME TO TAKE THE BELT #ufc #monkey'). INFERRED: cocky champion</v>
      </c>
      <c r="L4" s="20" t="str">
        <f aca="false">INDEX('ALL CANDIDATES'!$D$2:$D$63,MATCH(LARGE('ALL CANDIDATES'!$BV$2:$BV$63,$A4),'ALL CANDIDATES'!$BV$2:$BV$63,0))</f>
        <v>https://www.instagram.com/abunuttyofficial/</v>
      </c>
    </row>
    <row r="5" customFormat="false" ht="15" hidden="false" customHeight="false" outlineLevel="0" collapsed="false">
      <c r="A5" s="2" t="n">
        <v>4</v>
      </c>
      <c r="B5" s="6" t="str">
        <f aca="false">INDEX('ALL CANDIDATES'!$B$2:$B$63,MATCH(LARGE('ALL CANDIDATES'!$BV$2:$BV$63,$A5),'ALL CANDIDATES'!$BV$2:$BV$63,0))</f>
        <v>Lil Miquela</v>
      </c>
      <c r="C5" s="6" t="str">
        <f aca="false">INDEX('ALL CANDIDATES'!$C$2:$C$63,MATCH(LARGE('ALL CANDIDATES'!$BV$2:$BV$63,$A5),'ALL CANDIDATES'!$BV$2:$BV$63,0))</f>
        <v>lilmiquela</v>
      </c>
      <c r="D5" s="6" t="str">
        <f aca="false">INDEX('ALL CANDIDATES'!$E$2:$E$63,MATCH(LARGE('ALL CANDIDATES'!$BV$2:$BV$63,$A5),'ALL CANDIDATES'!$BV$2:$BV$63,0))</f>
        <v>DISCOVERED</v>
      </c>
      <c r="E5" s="6" t="n">
        <f aca="false">INDEX('ALL CANDIDATES'!$BQ$2:$BQ$63,MATCH(LARGE('ALL CANDIDATES'!$BV$2:$BV$63,$A5),'ALL CANDIDATES'!$BV$2:$BV$63,0))</f>
        <v>90</v>
      </c>
      <c r="F5" s="20" t="n">
        <f aca="false">INDEX('ALL CANDIDATES'!$AZ$2:$AZ$63,MATCH(LARGE('ALL CANDIDATES'!$BV$2:$BV$63,$A5),'ALL CANDIDATES'!$BV$2:$BV$63,0))</f>
        <v>5</v>
      </c>
      <c r="G5" s="20" t="n">
        <f aca="false">INDEX('ALL CANDIDATES'!$BA$2:$BA$63,MATCH(LARGE('ALL CANDIDATES'!$BV$2:$BV$63,$A5),'ALL CANDIDATES'!$BV$2:$BV$63,0))</f>
        <v>5</v>
      </c>
      <c r="H5" s="20" t="n">
        <f aca="false">INDEX('ALL CANDIDATES'!$BB$2:$BB$63,MATCH(LARGE('ALL CANDIDATES'!$BV$2:$BV$63,$A5),'ALL CANDIDATES'!$BV$2:$BV$63,0))</f>
        <v>5</v>
      </c>
      <c r="I5" s="20" t="n">
        <f aca="false">INDEX('ALL CANDIDATES'!$BC$2:$BC$63,MATCH(LARGE('ALL CANDIDATES'!$BV$2:$BV$63,$A5),'ALL CANDIDATES'!$BV$2:$BV$63,0))</f>
        <v>3</v>
      </c>
      <c r="J5" s="20" t="str">
        <f aca="false">INDEX('ALL CANDIDATES'!$AV$2:$AV$63,MATCH(LARGE('ALL CANDIDATES'!$BV$2:$BV$63,$A5),'ALL CANDIDATES'!$BV$2:$BV$63,0))</f>
        <v>INFERRED: CGI teen with space buns</v>
      </c>
      <c r="K5" s="20" t="str">
        <f aca="false">INDEX('ALL CANDIDATES'!$AU$2:$AU$63,MATCH(LARGE('ALL CANDIDATES'!$BV$2:$BV$63,$A5),'ALL CANDIDATES'!$BV$2:$BV$63,0))</f>
        <v>INFERRED: Gen-Z musician/robot with long-running storyline</v>
      </c>
      <c r="L5" s="20" t="str">
        <f aca="false">INDEX('ALL CANDIDATES'!$D$2:$D$63,MATCH(LARGE('ALL CANDIDATES'!$BV$2:$BV$63,$A5),'ALL CANDIDATES'!$BV$2:$BV$63,0))</f>
        <v>https://www.instagram.com/lilmiquela/</v>
      </c>
    </row>
    <row r="6" customFormat="false" ht="15" hidden="false" customHeight="false" outlineLevel="0" collapsed="false">
      <c r="A6" s="2" t="n">
        <v>5</v>
      </c>
      <c r="B6" s="6" t="str">
        <f aca="false">INDEX('ALL CANDIDATES'!$B$2:$B$63,MATCH(LARGE('ALL CANDIDATES'!$BV$2:$BV$63,$A6),'ALL CANDIDATES'!$BV$2:$BV$63,0))</f>
        <v>Granny Spills</v>
      </c>
      <c r="C6" s="6" t="str">
        <f aca="false">INDEX('ALL CANDIDATES'!$C$2:$C$63,MATCH(LARGE('ALL CANDIDATES'!$BV$2:$BV$63,$A6),'ALL CANDIDATES'!$BV$2:$BV$63,0))</f>
        <v>grannyspills</v>
      </c>
      <c r="D6" s="6" t="str">
        <f aca="false">INDEX('ALL CANDIDATES'!$E$2:$E$63,MATCH(LARGE('ALL CANDIDATES'!$BV$2:$BV$63,$A6),'ALL CANDIDATES'!$BV$2:$BV$63,0))</f>
        <v>DISCOVERED</v>
      </c>
      <c r="E6" s="6" t="n">
        <f aca="false">INDEX('ALL CANDIDATES'!$BQ$2:$BQ$63,MATCH(LARGE('ALL CANDIDATES'!$BV$2:$BV$63,$A6),'ALL CANDIDATES'!$BV$2:$BV$63,0))</f>
        <v>85</v>
      </c>
      <c r="F6" s="20" t="n">
        <f aca="false">INDEX('ALL CANDIDATES'!$AZ$2:$AZ$63,MATCH(LARGE('ALL CANDIDATES'!$BV$2:$BV$63,$A6),'ALL CANDIDATES'!$BV$2:$BV$63,0))</f>
        <v>5</v>
      </c>
      <c r="G6" s="20" t="n">
        <f aca="false">INDEX('ALL CANDIDATES'!$BA$2:$BA$63,MATCH(LARGE('ALL CANDIDATES'!$BV$2:$BV$63,$A6),'ALL CANDIDATES'!$BV$2:$BV$63,0))</f>
        <v>5</v>
      </c>
      <c r="H6" s="20" t="n">
        <f aca="false">INDEX('ALL CANDIDATES'!$BB$2:$BB$63,MATCH(LARGE('ALL CANDIDATES'!$BV$2:$BV$63,$A6),'ALL CANDIDATES'!$BV$2:$BV$63,0))</f>
        <v>3</v>
      </c>
      <c r="I6" s="20" t="n">
        <f aca="false">INDEX('ALL CANDIDATES'!$BC$2:$BC$63,MATCH(LARGE('ALL CANDIDATES'!$BV$2:$BV$63,$A6),'ALL CANDIDATES'!$BV$2:$BV$63,0))</f>
        <v>4</v>
      </c>
      <c r="J6" s="20" t="str">
        <f aca="false">INDEX('ALL CANDIDATES'!$AV$2:$AV$63,MATCH(LARGE('ALL CANDIDATES'!$BV$2:$BV$63,$A6),'ALL CANDIDATES'!$BV$2:$BV$63,0))</f>
        <v>INFERRED: elderly glam woman</v>
      </c>
      <c r="K6" s="20" t="str">
        <f aca="false">INDEX('ALL CANDIDATES'!$AU$2:$AU$63,MATCH(LARGE('ALL CANDIDATES'!$BV$2:$BV$63,$A6),'ALL CANDIDATES'!$BV$2:$BV$63,0))</f>
        <v>INFERRED: brutally honest rich granny</v>
      </c>
      <c r="L6" s="20" t="str">
        <f aca="false">INDEX('ALL CANDIDATES'!$D$2:$D$63,MATCH(LARGE('ALL CANDIDATES'!$BV$2:$BV$63,$A6),'ALL CANDIDATES'!$BV$2:$BV$63,0))</f>
        <v>https://www.instagram.com/grannyspills/</v>
      </c>
    </row>
    <row r="7" customFormat="false" ht="35.05" hidden="false" customHeight="false" outlineLevel="0" collapsed="false">
      <c r="A7" s="2" t="n">
        <v>6</v>
      </c>
      <c r="B7" s="6" t="str">
        <f aca="false">INDEX('ALL CANDIDATES'!$B$2:$B$63,MATCH(LARGE('ALL CANDIDATES'!$BV$2:$BV$63,$A7),'ALL CANDIDATES'!$BV$2:$BV$63,0))</f>
        <v>Derek Mercer</v>
      </c>
      <c r="C7" s="6" t="str">
        <f aca="false">INDEX('ALL CANDIDATES'!$C$2:$C$63,MATCH(LARGE('ALL CANDIDATES'!$BV$2:$BV$63,$A7),'ALL CANDIDATES'!$BV$2:$BV$63,0))</f>
        <v>derek.mercer.2006</v>
      </c>
      <c r="D7" s="6" t="str">
        <f aca="false">INDEX('ALL CANDIDATES'!$E$2:$E$63,MATCH(LARGE('ALL CANDIDATES'!$BV$2:$BV$63,$A7),'ALL CANDIDATES'!$BV$2:$BV$63,0))</f>
        <v>DISCOVERED</v>
      </c>
      <c r="E7" s="6" t="n">
        <f aca="false">INDEX('ALL CANDIDATES'!$BQ$2:$BQ$63,MATCH(LARGE('ALL CANDIDATES'!$BV$2:$BV$63,$A7),'ALL CANDIDATES'!$BV$2:$BV$63,0))</f>
        <v>80</v>
      </c>
      <c r="F7" s="20" t="n">
        <f aca="false">INDEX('ALL CANDIDATES'!$AZ$2:$AZ$63,MATCH(LARGE('ALL CANDIDATES'!$BV$2:$BV$63,$A7),'ALL CANDIDATES'!$BV$2:$BV$63,0))</f>
        <v>5</v>
      </c>
      <c r="G7" s="20" t="n">
        <f aca="false">INDEX('ALL CANDIDATES'!$BA$2:$BA$63,MATCH(LARGE('ALL CANDIDATES'!$BV$2:$BV$63,$A7),'ALL CANDIDATES'!$BV$2:$BV$63,0))</f>
        <v>4</v>
      </c>
      <c r="H7" s="20" t="n">
        <f aca="false">INDEX('ALL CANDIDATES'!$BB$2:$BB$63,MATCH(LARGE('ALL CANDIDATES'!$BV$2:$BV$63,$A7),'ALL CANDIDATES'!$BV$2:$BV$63,0))</f>
        <v>3</v>
      </c>
      <c r="I7" s="20" t="n">
        <f aca="false">INDEX('ALL CANDIDATES'!$BC$2:$BC$63,MATCH(LARGE('ALL CANDIDATES'!$BV$2:$BV$63,$A7),'ALL CANDIDATES'!$BV$2:$BV$63,0))</f>
        <v>4</v>
      </c>
      <c r="J7" s="20" t="str">
        <f aca="false">INDEX('ALL CANDIDATES'!$AV$2:$AV$63,MATCH(LARGE('ALL CANDIDATES'!$BV$2:$BV$63,$A7),'ALL CANDIDATES'!$BV$2:$BV$63,0))</f>
        <v>OBSERVED: black emo hair over eyes, cartoonishly huge muscles, Monster Energy outfit</v>
      </c>
      <c r="K7" s="20" t="str">
        <f aca="false">INDEX('ALL CANDIDATES'!$AU$2:$AU$63,MATCH(LARGE('ALL CANDIDATES'!$BV$2:$BV$63,$A7),'ALL CANDIDATES'!$BV$2:$BV$63,0))</f>
        <v>OBSERVED: sigma/gym captions ('He was mogged.', 'Pumping with GIGACAT'). INFERRED: looksmaxxing gym-bro meme</v>
      </c>
      <c r="L7" s="20" t="str">
        <f aca="false">INDEX('ALL CANDIDATES'!$D$2:$D$63,MATCH(LARGE('ALL CANDIDATES'!$BV$2:$BV$63,$A7),'ALL CANDIDATES'!$BV$2:$BV$63,0))</f>
        <v>https://www.instagram.com/derek.mercer.2006/</v>
      </c>
    </row>
    <row r="8" customFormat="false" ht="15" hidden="false" customHeight="false" outlineLevel="0" collapsed="false">
      <c r="A8" s="2" t="n">
        <v>7</v>
      </c>
      <c r="B8" s="6" t="str">
        <f aca="false">INDEX('ALL CANDIDATES'!$B$2:$B$63,MATCH(LARGE('ALL CANDIDATES'!$BV$2:$BV$63,$A8),'ALL CANDIDATES'!$BV$2:$BV$63,0))</f>
        <v>Casper the Italian Greyhound</v>
      </c>
      <c r="C8" s="6" t="str">
        <f aca="false">INDEX('ALL CANDIDATES'!$C$2:$C$63,MATCH(LARGE('ALL CANDIDATES'!$BV$2:$BV$63,$A8),'ALL CANDIDATES'!$BV$2:$BV$63,0))</f>
        <v>casper.iggy</v>
      </c>
      <c r="D8" s="6" t="str">
        <f aca="false">INDEX('ALL CANDIDATES'!$E$2:$E$63,MATCH(LARGE('ALL CANDIDATES'!$BV$2:$BV$63,$A8),'ALL CANDIDATES'!$BV$2:$BV$63,0))</f>
        <v>DISCOVERED</v>
      </c>
      <c r="E8" s="6" t="n">
        <f aca="false">INDEX('ALL CANDIDATES'!$BQ$2:$BQ$63,MATCH(LARGE('ALL CANDIDATES'!$BV$2:$BV$63,$A8),'ALL CANDIDATES'!$BV$2:$BV$63,0))</f>
        <v>75</v>
      </c>
      <c r="F8" s="20" t="n">
        <f aca="false">INDEX('ALL CANDIDATES'!$AZ$2:$AZ$63,MATCH(LARGE('ALL CANDIDATES'!$BV$2:$BV$63,$A8),'ALL CANDIDATES'!$BV$2:$BV$63,0))</f>
        <v>4</v>
      </c>
      <c r="G8" s="20" t="n">
        <f aca="false">INDEX('ALL CANDIDATES'!$BA$2:$BA$63,MATCH(LARGE('ALL CANDIDATES'!$BV$2:$BV$63,$A8),'ALL CANDIDATES'!$BV$2:$BV$63,0))</f>
        <v>3</v>
      </c>
      <c r="H8" s="20" t="n">
        <f aca="false">INDEX('ALL CANDIDATES'!$BB$2:$BB$63,MATCH(LARGE('ALL CANDIDATES'!$BV$2:$BV$63,$A8),'ALL CANDIDATES'!$BV$2:$BV$63,0))</f>
        <v>4</v>
      </c>
      <c r="I8" s="20" t="n">
        <f aca="false">INDEX('ALL CANDIDATES'!$BC$2:$BC$63,MATCH(LARGE('ALL CANDIDATES'!$BV$2:$BV$63,$A8),'ALL CANDIDATES'!$BV$2:$BV$63,0))</f>
        <v>4</v>
      </c>
      <c r="J8" s="20" t="str">
        <f aca="false">INDEX('ALL CANDIDATES'!$AV$2:$AV$63,MATCH(LARGE('ALL CANDIDATES'!$BV$2:$BV$63,$A8),'ALL CANDIDATES'!$BV$2:$BV$63,0))</f>
        <v>INFERRED: Italian greyhound in fight/human settings</v>
      </c>
      <c r="K8" s="20" t="str">
        <f aca="false">INDEX('ALL CANDIDATES'!$AU$2:$AU$63,MATCH(LARGE('ALL CANDIDATES'!$BV$2:$BV$63,$A8),'ALL CANDIDATES'!$BV$2:$BV$63,0))</f>
        <v>INFERRED: underdog fighter dog</v>
      </c>
      <c r="L8" s="20" t="str">
        <f aca="false">INDEX('ALL CANDIDATES'!$D$2:$D$63,MATCH(LARGE('ALL CANDIDATES'!$BV$2:$BV$63,$A8),'ALL CANDIDATES'!$BV$2:$BV$63,0))</f>
        <v>https://www.instagram.com/casper.iggy/</v>
      </c>
    </row>
    <row r="9" customFormat="false" ht="46.25" hidden="false" customHeight="false" outlineLevel="0" collapsed="false">
      <c r="A9" s="2" t="n">
        <v>8</v>
      </c>
      <c r="B9" s="6" t="str">
        <f aca="false">INDEX('ALL CANDIDATES'!$B$2:$B$63,MATCH(LARGE('ALL CANDIDATES'!$BV$2:$BV$63,$A9),'ALL CANDIDATES'!$BV$2:$BV$63,0))</f>
        <v>Brigitte Macaron</v>
      </c>
      <c r="C9" s="6" t="str">
        <f aca="false">INDEX('ALL CANDIDATES'!$C$2:$C$63,MATCH(LARGE('ALL CANDIDATES'!$BV$2:$BV$63,$A9),'ALL CANDIDATES'!$BV$2:$BV$63,0))</f>
        <v>brigittemacaron_</v>
      </c>
      <c r="D9" s="6" t="str">
        <f aca="false">INDEX('ALL CANDIDATES'!$E$2:$E$63,MATCH(LARGE('ALL CANDIDATES'!$BV$2:$BV$63,$A9),'ALL CANDIDATES'!$BV$2:$BV$63,0))</f>
        <v>SEED</v>
      </c>
      <c r="E9" s="6" t="n">
        <f aca="false">INDEX('ALL CANDIDATES'!$BQ$2:$BQ$63,MATCH(LARGE('ALL CANDIDATES'!$BV$2:$BV$63,$A9),'ALL CANDIDATES'!$BV$2:$BV$63,0))</f>
        <v>70</v>
      </c>
      <c r="F9" s="20" t="n">
        <f aca="false">INDEX('ALL CANDIDATES'!$AZ$2:$AZ$63,MATCH(LARGE('ALL CANDIDATES'!$BV$2:$BV$63,$A9),'ALL CANDIDATES'!$BV$2:$BV$63,0))</f>
        <v>4</v>
      </c>
      <c r="G9" s="20" t="n">
        <f aca="false">INDEX('ALL CANDIDATES'!$BA$2:$BA$63,MATCH(LARGE('ALL CANDIDATES'!$BV$2:$BV$63,$A9),'ALL CANDIDATES'!$BV$2:$BV$63,0))</f>
        <v>4</v>
      </c>
      <c r="H9" s="20" t="n">
        <f aca="false">INDEX('ALL CANDIDATES'!$BB$2:$BB$63,MATCH(LARGE('ALL CANDIDATES'!$BV$2:$BV$63,$A9),'ALL CANDIDATES'!$BV$2:$BV$63,0))</f>
        <v>3</v>
      </c>
      <c r="I9" s="20" t="n">
        <f aca="false">INDEX('ALL CANDIDATES'!$BC$2:$BC$63,MATCH(LARGE('ALL CANDIDATES'!$BV$2:$BV$63,$A9),'ALL CANDIDATES'!$BV$2:$BV$63,0))</f>
        <v>3</v>
      </c>
      <c r="J9" s="20" t="str">
        <f aca="false">INDEX('ALL CANDIDATES'!$AV$2:$AV$63,MATCH(LARGE('ALL CANDIDATES'!$BV$2:$BV$63,$A9),'ALL CANDIDATES'!$BV$2:$BV$63,0))</f>
        <v>OBSERVED: platinum blunt bob, tortoiseshell glasses, red patent jacket / Spider-Man suit outfits, pastries; metro and cafe settings</v>
      </c>
      <c r="K9" s="20" t="str">
        <f aca="false">INDEX('ALL CANDIDATES'!$AU$2:$AU$63,MATCH(LARGE('ALL CANDIDATES'!$BV$2:$BV$63,$A9),'ALL CANDIDATES'!$BV$2:$BV$63,0))</f>
        <v>OBSERVED: calls fans 'Macaronies'; 'Your father insisted...', 'They challenged the wrong auntie 💅'. INFERRED: flirtatious, fashion-obsessed Parisian matriarch, implied partner of Jean Phil</v>
      </c>
      <c r="L9" s="20" t="str">
        <f aca="false">INDEX('ALL CANDIDATES'!$D$2:$D$63,MATCH(LARGE('ALL CANDIDATES'!$BV$2:$BV$63,$A9),'ALL CANDIDATES'!$BV$2:$BV$63,0))</f>
        <v>https://www.instagram.com/brigittemacaron_/</v>
      </c>
    </row>
    <row r="10" customFormat="false" ht="23.85" hidden="false" customHeight="false" outlineLevel="0" collapsed="false">
      <c r="A10" s="2" t="n">
        <v>9</v>
      </c>
      <c r="B10" s="6" t="str">
        <f aca="false">INDEX('ALL CANDIDATES'!$B$2:$B$63,MATCH(LARGE('ALL CANDIDATES'!$BV$2:$BV$63,$A10),'ALL CANDIDATES'!$BV$2:$BV$63,0))</f>
        <v>Candy the Greyhound</v>
      </c>
      <c r="C10" s="6" t="str">
        <f aca="false">INDEX('ALL CANDIDATES'!$C$2:$C$63,MATCH(LARGE('ALL CANDIDATES'!$BV$2:$BV$63,$A10),'ALL CANDIDATES'!$BV$2:$BV$63,0))</f>
        <v>candy.greyhound</v>
      </c>
      <c r="D10" s="6" t="str">
        <f aca="false">INDEX('ALL CANDIDATES'!$E$2:$E$63,MATCH(LARGE('ALL CANDIDATES'!$BV$2:$BV$63,$A10),'ALL CANDIDATES'!$BV$2:$BV$63,0))</f>
        <v>DISCOVERED</v>
      </c>
      <c r="E10" s="6" t="n">
        <f aca="false">INDEX('ALL CANDIDATES'!$BQ$2:$BQ$63,MATCH(LARGE('ALL CANDIDATES'!$BV$2:$BV$63,$A10),'ALL CANDIDATES'!$BV$2:$BV$63,0))</f>
        <v>70</v>
      </c>
      <c r="F10" s="20" t="n">
        <f aca="false">INDEX('ALL CANDIDATES'!$AZ$2:$AZ$63,MATCH(LARGE('ALL CANDIDATES'!$BV$2:$BV$63,$A10),'ALL CANDIDATES'!$BV$2:$BV$63,0))</f>
        <v>3</v>
      </c>
      <c r="G10" s="20" t="n">
        <f aca="false">INDEX('ALL CANDIDATES'!$BA$2:$BA$63,MATCH(LARGE('ALL CANDIDATES'!$BV$2:$BV$63,$A10),'ALL CANDIDATES'!$BV$2:$BV$63,0))</f>
        <v>3</v>
      </c>
      <c r="H10" s="20" t="n">
        <f aca="false">INDEX('ALL CANDIDATES'!$BB$2:$BB$63,MATCH(LARGE('ALL CANDIDATES'!$BV$2:$BV$63,$A10),'ALL CANDIDATES'!$BV$2:$BV$63,0))</f>
        <v>4</v>
      </c>
      <c r="I10" s="20" t="n">
        <f aca="false">INDEX('ALL CANDIDATES'!$BC$2:$BC$63,MATCH(LARGE('ALL CANDIDATES'!$BV$2:$BV$63,$A10),'ALL CANDIDATES'!$BV$2:$BV$63,0))</f>
        <v>4</v>
      </c>
      <c r="J10" s="20" t="str">
        <f aca="false">INDEX('ALL CANDIDATES'!$AV$2:$AV$63,MATCH(LARGE('ALL CANDIDATES'!$BV$2:$BV$63,$A10),'ALL CANDIDATES'!$BV$2:$BV$63,0))</f>
        <v>INFERRED: greyhound in fight settings</v>
      </c>
      <c r="K10" s="20" t="str">
        <f aca="false">INDEX('ALL CANDIDATES'!$AU$2:$AU$63,MATCH(LARGE('ALL CANDIDATES'!$BV$2:$BV$63,$A10),'ALL CANDIDATES'!$BV$2:$BV$63,0))</f>
        <v>OBSERVED: '$1M prize challenge 🥊', 'With the big boss @danawhite'</v>
      </c>
      <c r="L10" s="20" t="str">
        <f aca="false">INDEX('ALL CANDIDATES'!$D$2:$D$63,MATCH(LARGE('ALL CANDIDATES'!$BV$2:$BV$63,$A10),'ALL CANDIDATES'!$BV$2:$BV$63,0))</f>
        <v>https://www.instagram.com/candy.greyhound/</v>
      </c>
    </row>
    <row r="11" customFormat="false" ht="15" hidden="false" customHeight="false" outlineLevel="0" collapsed="false">
      <c r="A11" s="2" t="n">
        <v>10</v>
      </c>
      <c r="B11" s="6" t="str">
        <f aca="false">INDEX('ALL CANDIDATES'!$B$2:$B$63,MATCH(LARGE('ALL CANDIDATES'!$BV$2:$BV$63,$A11),'ALL CANDIDATES'!$BV$2:$BV$63,0))</f>
        <v>Don Gorillo Mkrtchyan</v>
      </c>
      <c r="C11" s="6" t="str">
        <f aca="false">INDEX('ALL CANDIDATES'!$C$2:$C$63,MATCH(LARGE('ALL CANDIDATES'!$BV$2:$BV$63,$A11),'ALL CANDIDATES'!$BV$2:$BV$63,0))</f>
        <v>don.gorillo</v>
      </c>
      <c r="D11" s="6" t="str">
        <f aca="false">INDEX('ALL CANDIDATES'!$E$2:$E$63,MATCH(LARGE('ALL CANDIDATES'!$BV$2:$BV$63,$A11),'ALL CANDIDATES'!$BV$2:$BV$63,0))</f>
        <v>DISCOVERED</v>
      </c>
      <c r="E11" s="6" t="n">
        <f aca="false">INDEX('ALL CANDIDATES'!$BQ$2:$BQ$63,MATCH(LARGE('ALL CANDIDATES'!$BV$2:$BV$63,$A11),'ALL CANDIDATES'!$BV$2:$BV$63,0))</f>
        <v>70</v>
      </c>
      <c r="F11" s="20" t="n">
        <f aca="false">INDEX('ALL CANDIDATES'!$AZ$2:$AZ$63,MATCH(LARGE('ALL CANDIDATES'!$BV$2:$BV$63,$A11),'ALL CANDIDATES'!$BV$2:$BV$63,0))</f>
        <v>3</v>
      </c>
      <c r="G11" s="20" t="n">
        <f aca="false">INDEX('ALL CANDIDATES'!$BA$2:$BA$63,MATCH(LARGE('ALL CANDIDATES'!$BV$2:$BV$63,$A11),'ALL CANDIDATES'!$BV$2:$BV$63,0))</f>
        <v>3</v>
      </c>
      <c r="H11" s="20" t="n">
        <f aca="false">INDEX('ALL CANDIDATES'!$BB$2:$BB$63,MATCH(LARGE('ALL CANDIDATES'!$BV$2:$BV$63,$A11),'ALL CANDIDATES'!$BV$2:$BV$63,0))</f>
        <v>4</v>
      </c>
      <c r="I11" s="20" t="n">
        <f aca="false">INDEX('ALL CANDIDATES'!$BC$2:$BC$63,MATCH(LARGE('ALL CANDIDATES'!$BV$2:$BV$63,$A11),'ALL CANDIDATES'!$BV$2:$BV$63,0))</f>
        <v>4</v>
      </c>
      <c r="J11" s="20" t="str">
        <f aca="false">INDEX('ALL CANDIDATES'!$AV$2:$AV$63,MATCH(LARGE('ALL CANDIDATES'!$BV$2:$BV$63,$A11),'ALL CANDIDATES'!$BV$2:$BV$63,0))</f>
        <v>INFERRED: gorilla fighter</v>
      </c>
      <c r="K11" s="20" t="str">
        <f aca="false">INDEX('ALL CANDIDATES'!$AU$2:$AU$63,MATCH(LARGE('ALL CANDIDATES'!$BV$2:$BV$63,$A11),'ALL CANDIDATES'!$BV$2:$BV$63,0))</f>
        <v>OBSERVED: 'Biggest win of my life', 'I'M COMING HOME 🇦🇲'</v>
      </c>
      <c r="L11" s="20" t="str">
        <f aca="false">INDEX('ALL CANDIDATES'!$D$2:$D$63,MATCH(LARGE('ALL CANDIDATES'!$BV$2:$BV$63,$A11),'ALL CANDIDATES'!$BV$2:$BV$63,0))</f>
        <v>https://www.instagram.com/don.gorillo/</v>
      </c>
    </row>
    <row r="13" customFormat="false" ht="15" hidden="false" customHeight="false" outlineLevel="0" collapsed="false">
      <c r="A13" s="10" t="s">
        <v>1322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7" min="5" style="0" width="9"/>
    <col collapsed="false" customWidth="true" hidden="false" outlineLevel="0" max="9" min="8" style="0" width="10"/>
    <col collapsed="false" customWidth="true" hidden="false" outlineLevel="0" max="10" min="10" style="0" width="36"/>
    <col collapsed="false" customWidth="true" hidden="false" outlineLevel="0" max="11" min="11" style="0" width="34"/>
    <col collapsed="false" customWidth="true" hidden="false" outlineLevel="0" max="12" min="12" style="0" width="60"/>
    <col collapsed="false" customWidth="true" hidden="false" outlineLevel="0" max="13" min="13" style="0" width="34"/>
  </cols>
  <sheetData>
    <row r="1" customFormat="false" ht="42" hidden="false" customHeight="true" outlineLevel="0" collapsed="false">
      <c r="A1" s="1" t="s">
        <v>896</v>
      </c>
      <c r="B1" s="1" t="s">
        <v>199</v>
      </c>
      <c r="C1" s="1" t="s">
        <v>200</v>
      </c>
      <c r="D1" s="1" t="s">
        <v>202</v>
      </c>
      <c r="E1" s="1" t="s">
        <v>897</v>
      </c>
      <c r="F1" s="1" t="s">
        <v>259</v>
      </c>
      <c r="G1" s="1" t="s">
        <v>265</v>
      </c>
      <c r="H1" s="1" t="s">
        <v>266</v>
      </c>
      <c r="I1" s="1" t="s">
        <v>267</v>
      </c>
      <c r="J1" s="1" t="s">
        <v>204</v>
      </c>
      <c r="K1" s="1" t="s">
        <v>240</v>
      </c>
      <c r="L1" s="1" t="s">
        <v>273</v>
      </c>
      <c r="M1" s="1" t="s">
        <v>201</v>
      </c>
    </row>
    <row r="2" customFormat="false" ht="23.85" hidden="false" customHeight="false" outlineLevel="0" collapsed="false">
      <c r="A2" s="2" t="n">
        <v>1</v>
      </c>
      <c r="B2" s="6" t="str">
        <f aca="false">INDEX('ALL CANDIDATES'!$B$2:$B$63,MATCH(LARGE('ALL CANDIDATES'!$BW$2:$BW$63,$A2),'ALL CANDIDATES'!$BW$2:$BW$63,0))</f>
        <v>Derek Mercer</v>
      </c>
      <c r="C2" s="6" t="str">
        <f aca="false">INDEX('ALL CANDIDATES'!$C$2:$C$63,MATCH(LARGE('ALL CANDIDATES'!$BW$2:$BW$63,$A2),'ALL CANDIDATES'!$BW$2:$BW$63,0))</f>
        <v>derek.mercer.2006</v>
      </c>
      <c r="D2" s="6" t="str">
        <f aca="false">INDEX('ALL CANDIDATES'!$E$2:$E$63,MATCH(LARGE('ALL CANDIDATES'!$BW$2:$BW$63,$A2),'ALL CANDIDATES'!$BW$2:$BW$63,0))</f>
        <v>DISCOVERED</v>
      </c>
      <c r="E2" s="6" t="n">
        <f aca="false">INDEX('ALL CANDIDATES'!$BS$2:$BS$63,MATCH(LARGE('ALL CANDIDATES'!$BW$2:$BW$63,$A2),'ALL CANDIDATES'!$BW$2:$BW$63,0))</f>
        <v>78.4</v>
      </c>
      <c r="F2" s="20" t="n">
        <f aca="false">INDEX('ALL CANDIDATES'!$BJ$2:$BJ$63,MATCH(LARGE('ALL CANDIDATES'!$BW$2:$BW$63,$A2),'ALL CANDIDATES'!$BW$2:$BW$63,0))</f>
        <v>69.4</v>
      </c>
      <c r="G2" s="20" t="n">
        <f aca="false">INDEX('ALL CANDIDATES'!$BP$2:$BP$63,MATCH(LARGE('ALL CANDIDATES'!$BW$2:$BW$63,$A2),'ALL CANDIDATES'!$BW$2:$BW$63,0))</f>
        <v>86.9</v>
      </c>
      <c r="H2" s="20" t="n">
        <f aca="false">INDEX('ALL CANDIDATES'!$BQ$2:$BQ$63,MATCH(LARGE('ALL CANDIDATES'!$BW$2:$BW$63,$A2),'ALL CANDIDATES'!$BW$2:$BW$63,0))</f>
        <v>80</v>
      </c>
      <c r="I2" s="21" t="n">
        <f aca="false">INDEX('ALL CANDIDATES'!$BR$2:$BR$63,MATCH(LARGE('ALL CANDIDATES'!$BW$2:$BW$63,$A2),'ALL CANDIDATES'!$BW$2:$BW$63,0))</f>
        <v>0.8</v>
      </c>
      <c r="J2" s="20" t="n">
        <f aca="false">INDEX('ALL CANDIDATES'!$G$2:$G$63,MATCH(LARGE('ALL CANDIDATES'!$BW$2:$BW$63,$A2),'ALL CANDIDATES'!$BW$2:$BW$63,0))</f>
        <v>0</v>
      </c>
      <c r="K2" s="20" t="str">
        <f aca="false">INDEX('ALL CANDIDATES'!$AQ$2:$AQ$63,MATCH(LARGE('ALL CANDIDATES'!$BW$2:$BW$63,$A2),'ALL CANDIDATES'!$BW$2:$BW$63,0))</f>
        <v>Contract address (…pump) in bio</v>
      </c>
      <c r="L2" s="20" t="str">
        <f aca="false">INDEX('ALL CANDIDATES'!$BX$2:$BX$63,MATCH(LARGE('ALL CANDIDATES'!$BW$2:$BW$63,$A2),'ALL CANDIDATES'!$BW$2:$BW$63,0))</f>
        <v>Breakout of the wave: 3.15M-like reel, verified badge, brand-style Monster Energy content, crossovers with Jean Phil and Sickman.</v>
      </c>
      <c r="M2" s="20" t="str">
        <f aca="false">INDEX('ALL CANDIDATES'!$D$2:$D$63,MATCH(LARGE('ALL CANDIDATES'!$BW$2:$BW$63,$A2),'ALL CANDIDATES'!$BW$2:$BW$63,0))</f>
        <v>https://www.instagram.com/derek.mercer.2006/</v>
      </c>
    </row>
    <row r="3" customFormat="false" ht="23.85" hidden="false" customHeight="false" outlineLevel="0" collapsed="false">
      <c r="A3" s="2" t="n">
        <v>2</v>
      </c>
      <c r="B3" s="6" t="str">
        <f aca="false">INDEX('ALL CANDIDATES'!$B$2:$B$63,MATCH(LARGE('ALL CANDIDATES'!$BW$2:$BW$63,$A3),'ALL CANDIDATES'!$BW$2:$BW$63,0))</f>
        <v>Abu Nutty</v>
      </c>
      <c r="C3" s="6" t="str">
        <f aca="false">INDEX('ALL CANDIDATES'!$C$2:$C$63,MATCH(LARGE('ALL CANDIDATES'!$BW$2:$BW$63,$A3),'ALL CANDIDATES'!$BW$2:$BW$63,0))</f>
        <v>abunuttyofficial</v>
      </c>
      <c r="D3" s="6" t="str">
        <f aca="false">INDEX('ALL CANDIDATES'!$E$2:$E$63,MATCH(LARGE('ALL CANDIDATES'!$BW$2:$BW$63,$A3),'ALL CANDIDATES'!$BW$2:$BW$63,0))</f>
        <v>DISCOVERED</v>
      </c>
      <c r="E3" s="6" t="n">
        <f aca="false">INDEX('ALL CANDIDATES'!$BS$2:$BS$63,MATCH(LARGE('ALL CANDIDATES'!$BW$2:$BW$63,$A3),'ALL CANDIDATES'!$BW$2:$BW$63,0))</f>
        <v>75.3</v>
      </c>
      <c r="F3" s="20" t="n">
        <f aca="false">INDEX('ALL CANDIDATES'!$BJ$2:$BJ$63,MATCH(LARGE('ALL CANDIDATES'!$BW$2:$BW$63,$A3),'ALL CANDIDATES'!$BW$2:$BW$63,0))</f>
        <v>64.3</v>
      </c>
      <c r="G3" s="20" t="n">
        <f aca="false">INDEX('ALL CANDIDATES'!$BP$2:$BP$63,MATCH(LARGE('ALL CANDIDATES'!$BW$2:$BW$63,$A3),'ALL CANDIDATES'!$BW$2:$BW$63,0))</f>
        <v>70.9</v>
      </c>
      <c r="H3" s="20" t="n">
        <f aca="false">INDEX('ALL CANDIDATES'!$BQ$2:$BQ$63,MATCH(LARGE('ALL CANDIDATES'!$BW$2:$BW$63,$A3),'ALL CANDIDATES'!$BW$2:$BW$63,0))</f>
        <v>90</v>
      </c>
      <c r="I3" s="21" t="n">
        <f aca="false">INDEX('ALL CANDIDATES'!$BR$2:$BR$63,MATCH(LARGE('ALL CANDIDATES'!$BW$2:$BW$63,$A3),'ALL CANDIDATES'!$BW$2:$BW$63,0))</f>
        <v>0.9</v>
      </c>
      <c r="J3" s="20" t="n">
        <f aca="false">INDEX('ALL CANDIDATES'!$G$2:$G$63,MATCH(LARGE('ALL CANDIDATES'!$BW$2:$BW$63,$A3),'ALL CANDIDATES'!$BW$2:$BW$63,0))</f>
        <v>0</v>
      </c>
      <c r="K3" s="20" t="str">
        <f aca="false">INDEX('ALL CANDIDATES'!$AQ$2:$AQ$63,MATCH(LARGE('ALL CANDIDATES'!$BW$2:$BW$63,$A3),'ALL CANDIDATES'!$BW$2:$BW$63,0))</f>
        <v>NONE observed</v>
      </c>
      <c r="L3" s="20" t="str">
        <f aca="false">INDEX('ALL CANDIDATES'!$BX$2:$BX$63,MATCH(LARGE('ALL CANDIDATES'!$BW$2:$BW$63,$A3),'ALL CANDIDATES'!$BW$2:$BW$63,0))</f>
        <v>Hub of a multi-character AI fight league (Casper, Candy, Don Gorillo) with a running win-loss record and merch.</v>
      </c>
      <c r="M3" s="20" t="str">
        <f aca="false">INDEX('ALL CANDIDATES'!$D$2:$D$63,MATCH(LARGE('ALL CANDIDATES'!$BW$2:$BW$63,$A3),'ALL CANDIDATES'!$BW$2:$BW$63,0))</f>
        <v>https://www.instagram.com/abunuttyofficial/</v>
      </c>
    </row>
    <row r="4" customFormat="false" ht="23.85" hidden="false" customHeight="false" outlineLevel="0" collapsed="false">
      <c r="A4" s="2" t="n">
        <v>3</v>
      </c>
      <c r="B4" s="6" t="str">
        <f aca="false">INDEX('ALL CANDIDATES'!$B$2:$B$63,MATCH(LARGE('ALL CANDIDATES'!$BW$2:$BW$63,$A4),'ALL CANDIDATES'!$BW$2:$BW$63,0))</f>
        <v>Granny Spills</v>
      </c>
      <c r="C4" s="6" t="str">
        <f aca="false">INDEX('ALL CANDIDATES'!$C$2:$C$63,MATCH(LARGE('ALL CANDIDATES'!$BW$2:$BW$63,$A4),'ALL CANDIDATES'!$BW$2:$BW$63,0))</f>
        <v>grannyspills</v>
      </c>
      <c r="D4" s="6" t="str">
        <f aca="false">INDEX('ALL CANDIDATES'!$E$2:$E$63,MATCH(LARGE('ALL CANDIDATES'!$BW$2:$BW$63,$A4),'ALL CANDIDATES'!$BW$2:$BW$63,0))</f>
        <v>DISCOVERED</v>
      </c>
      <c r="E4" s="6" t="n">
        <f aca="false">INDEX('ALL CANDIDATES'!$BS$2:$BS$63,MATCH(LARGE('ALL CANDIDATES'!$BW$2:$BW$63,$A4),'ALL CANDIDATES'!$BW$2:$BW$63,0))</f>
        <v>73.3</v>
      </c>
      <c r="F4" s="20" t="n">
        <f aca="false">INDEX('ALL CANDIDATES'!$BJ$2:$BJ$63,MATCH(LARGE('ALL CANDIDATES'!$BW$2:$BW$63,$A4),'ALL CANDIDATES'!$BW$2:$BW$63,0))</f>
        <v>76.8</v>
      </c>
      <c r="G4" s="20" t="n">
        <f aca="false">INDEX('ALL CANDIDATES'!$BP$2:$BP$63,MATCH(LARGE('ALL CANDIDATES'!$BW$2:$BW$63,$A4),'ALL CANDIDATES'!$BW$2:$BW$63,0))</f>
        <v>53.2</v>
      </c>
      <c r="H4" s="20" t="n">
        <f aca="false">INDEX('ALL CANDIDATES'!$BQ$2:$BQ$63,MATCH(LARGE('ALL CANDIDATES'!$BW$2:$BW$63,$A4),'ALL CANDIDATES'!$BW$2:$BW$63,0))</f>
        <v>85</v>
      </c>
      <c r="I4" s="21" t="n">
        <f aca="false">INDEX('ALL CANDIDATES'!$BR$2:$BR$63,MATCH(LARGE('ALL CANDIDATES'!$BW$2:$BW$63,$A4),'ALL CANDIDATES'!$BW$2:$BW$63,0))</f>
        <v>0.9</v>
      </c>
      <c r="J4" s="20" t="n">
        <f aca="false">INDEX('ALL CANDIDATES'!$G$2:$G$63,MATCH(LARGE('ALL CANDIDATES'!$BW$2:$BW$63,$A4),'ALL CANDIDATES'!$BW$2:$BW$63,0))</f>
        <v>0</v>
      </c>
      <c r="K4" s="20" t="str">
        <f aca="false">INDEX('ALL CANDIDATES'!$AQ$2:$AQ$63,MATCH(LARGE('ALL CANDIDATES'!$BW$2:$BW$63,$A4),'ALL CANDIDATES'!$BW$2:$BW$63,0))</f>
        <v>NONE observed</v>
      </c>
      <c r="L4" s="20" t="str">
        <f aca="false">INDEX('ALL CANDIDATES'!$BX$2:$BX$63,MATCH(LARGE('ALL CANDIDATES'!$BW$2:$BW$63,$A4),'ALL CANDIDATES'!$BW$2:$BW$63,0))</f>
        <v>Largest AI-native (generative, not CGI) character found: 2.17M followers, 1M-like reel, 20 posts in 14 days.</v>
      </c>
      <c r="M4" s="20" t="str">
        <f aca="false">INDEX('ALL CANDIDATES'!$D$2:$D$63,MATCH(LARGE('ALL CANDIDATES'!$BW$2:$BW$63,$A4),'ALL CANDIDATES'!$BW$2:$BW$63,0))</f>
        <v>https://www.instagram.com/grannyspills/</v>
      </c>
    </row>
    <row r="5" customFormat="false" ht="23.85" hidden="false" customHeight="false" outlineLevel="0" collapsed="false">
      <c r="A5" s="2" t="n">
        <v>4</v>
      </c>
      <c r="B5" s="6" t="str">
        <f aca="false">INDEX('ALL CANDIDATES'!$B$2:$B$63,MATCH(LARGE('ALL CANDIDATES'!$BW$2:$BW$63,$A5),'ALL CANDIDATES'!$BW$2:$BW$63,0))</f>
        <v>Jean Phil</v>
      </c>
      <c r="C5" s="6" t="str">
        <f aca="false">INDEX('ALL CANDIDATES'!$C$2:$C$63,MATCH(LARGE('ALL CANDIDATES'!$BW$2:$BW$63,$A5),'ALL CANDIDATES'!$BW$2:$BW$63,0))</f>
        <v>jean_philanthrope</v>
      </c>
      <c r="D5" s="6" t="str">
        <f aca="false">INDEX('ALL CANDIDATES'!$E$2:$E$63,MATCH(LARGE('ALL CANDIDATES'!$BW$2:$BW$63,$A5),'ALL CANDIDATES'!$BW$2:$BW$63,0))</f>
        <v>SEED</v>
      </c>
      <c r="E5" s="6" t="n">
        <f aca="false">INDEX('ALL CANDIDATES'!$BS$2:$BS$63,MATCH(LARGE('ALL CANDIDATES'!$BW$2:$BW$63,$A5),'ALL CANDIDATES'!$BW$2:$BW$63,0))</f>
        <v>72.3</v>
      </c>
      <c r="F5" s="20" t="n">
        <f aca="false">INDEX('ALL CANDIDATES'!$BJ$2:$BJ$63,MATCH(LARGE('ALL CANDIDATES'!$BW$2:$BW$63,$A5),'ALL CANDIDATES'!$BW$2:$BW$63,0))</f>
        <v>63.7</v>
      </c>
      <c r="G5" s="20" t="n">
        <f aca="false">INDEX('ALL CANDIDATES'!$BP$2:$BP$63,MATCH(LARGE('ALL CANDIDATES'!$BW$2:$BW$63,$A5),'ALL CANDIDATES'!$BW$2:$BW$63,0))</f>
        <v>53.3</v>
      </c>
      <c r="H5" s="20" t="n">
        <f aca="false">INDEX('ALL CANDIDATES'!$BQ$2:$BQ$63,MATCH(LARGE('ALL CANDIDATES'!$BW$2:$BW$63,$A5),'ALL CANDIDATES'!$BW$2:$BW$63,0))</f>
        <v>95</v>
      </c>
      <c r="I5" s="21" t="n">
        <f aca="false">INDEX('ALL CANDIDATES'!$BR$2:$BR$63,MATCH(LARGE('ALL CANDIDATES'!$BW$2:$BW$63,$A5),'ALL CANDIDATES'!$BW$2:$BW$63,0))</f>
        <v>1</v>
      </c>
      <c r="J5" s="20" t="n">
        <f aca="false">INDEX('ALL CANDIDATES'!$G$2:$G$63,MATCH(LARGE('ALL CANDIDATES'!$BW$2:$BW$63,$A5),'ALL CANDIDATES'!$BW$2:$BW$63,0))</f>
        <v>0</v>
      </c>
      <c r="K5" s="20" t="str">
        <f aca="false">INDEX('ALL CANDIDATES'!$AQ$2:$AQ$63,MATCH(LARGE('ALL CANDIDATES'!$BW$2:$BW$63,$A5),'ALL CANDIDATES'!$BW$2:$BW$63,0))</f>
        <v>NONE observed in bio/captions</v>
      </c>
      <c r="L5" s="20" t="str">
        <f aca="false">INDEX('ALL CANDIDATES'!$BX$2:$BX$63,MATCH(LARGE('ALL CANDIDATES'!$BW$2:$BW$63,$A5),'ALL CANDIDATES'!$BW$2:$BW$63,0))</f>
        <v>Patient zero of the Sep-2026 AI-character wave: 1.7M-like reel within 2 days of debut; the hub most other characters tag or call out.</v>
      </c>
      <c r="M5" s="20" t="str">
        <f aca="false">INDEX('ALL CANDIDATES'!$D$2:$D$63,MATCH(LARGE('ALL CANDIDATES'!$BW$2:$BW$63,$A5),'ALL CANDIDATES'!$BW$2:$BW$63,0))</f>
        <v>https://www.instagram.com/jean_philanthrope/</v>
      </c>
    </row>
    <row r="6" customFormat="false" ht="23.85" hidden="false" customHeight="false" outlineLevel="0" collapsed="false">
      <c r="A6" s="2" t="n">
        <v>5</v>
      </c>
      <c r="B6" s="6" t="str">
        <f aca="false">INDEX('ALL CANDIDATES'!$B$2:$B$63,MATCH(LARGE('ALL CANDIDATES'!$BW$2:$BW$63,$A6),'ALL CANDIDATES'!$BW$2:$BW$63,0))</f>
        <v>Abu Shalab</v>
      </c>
      <c r="C6" s="6" t="str">
        <f aca="false">INDEX('ALL CANDIDATES'!$C$2:$C$63,MATCH(LARGE('ALL CANDIDATES'!$BW$2:$BW$63,$A6),'ALL CANDIDATES'!$BW$2:$BW$63,0))</f>
        <v>abu.shalab</v>
      </c>
      <c r="D6" s="6" t="str">
        <f aca="false">INDEX('ALL CANDIDATES'!$E$2:$E$63,MATCH(LARGE('ALL CANDIDATES'!$BW$2:$BW$63,$A6),'ALL CANDIDATES'!$BW$2:$BW$63,0))</f>
        <v>SEED</v>
      </c>
      <c r="E6" s="6" t="n">
        <f aca="false">INDEX('ALL CANDIDATES'!$BS$2:$BS$63,MATCH(LARGE('ALL CANDIDATES'!$BW$2:$BW$63,$A6),'ALL CANDIDATES'!$BW$2:$BW$63,0))</f>
        <v>71.7</v>
      </c>
      <c r="F6" s="20" t="n">
        <f aca="false">INDEX('ALL CANDIDATES'!$BJ$2:$BJ$63,MATCH(LARGE('ALL CANDIDATES'!$BW$2:$BW$63,$A6),'ALL CANDIDATES'!$BW$2:$BW$63,0))</f>
        <v>63.2</v>
      </c>
      <c r="G6" s="20" t="n">
        <f aca="false">INDEX('ALL CANDIDATES'!$BP$2:$BP$63,MATCH(LARGE('ALL CANDIDATES'!$BW$2:$BW$63,$A6),'ALL CANDIDATES'!$BW$2:$BW$63,0))</f>
        <v>80.2</v>
      </c>
      <c r="H6" s="20" t="n">
        <f aca="false">INDEX('ALL CANDIDATES'!$BQ$2:$BQ$63,MATCH(LARGE('ALL CANDIDATES'!$BW$2:$BW$63,$A6),'ALL CANDIDATES'!$BW$2:$BW$63,0))</f>
        <v>60</v>
      </c>
      <c r="I6" s="21" t="n">
        <f aca="false">INDEX('ALL CANDIDATES'!$BR$2:$BR$63,MATCH(LARGE('ALL CANDIDATES'!$BW$2:$BW$63,$A6),'ALL CANDIDATES'!$BW$2:$BW$63,0))</f>
        <v>0.9</v>
      </c>
      <c r="J6" s="20" t="n">
        <f aca="false">INDEX('ALL CANDIDATES'!$G$2:$G$63,MATCH(LARGE('ALL CANDIDATES'!$BW$2:$BW$63,$A6),'ALL CANDIDATES'!$BW$2:$BW$63,0))</f>
        <v>0</v>
      </c>
      <c r="K6" s="20" t="str">
        <f aca="false">INDEX('ALL CANDIDATES'!$AQ$2:$AQ$63,MATCH(LARGE('ALL CANDIDATES'!$BW$2:$BW$63,$A6),'ALL CANDIDATES'!$BW$2:$BW$63,0))</f>
        <v>$ABU (bio + 10-02 carousel '$ABU Officially on Chain 🚀')</v>
      </c>
      <c r="L6" s="20" t="str">
        <f aca="false">INDEX('ALL CANDIDATES'!$BX$2:$BX$63,MATCH(LARGE('ALL CANDIDATES'!$BW$2:$BW$63,$A6),'ALL CANDIDATES'!$BW$2:$BW$63,0))</f>
        <v>Biggest audience among seeds (531K in 14 days) and the clearest IG-native token link ($ABU + pump.fun link in bio).</v>
      </c>
      <c r="M6" s="20" t="str">
        <f aca="false">INDEX('ALL CANDIDATES'!$D$2:$D$63,MATCH(LARGE('ALL CANDIDATES'!$BW$2:$BW$63,$A6),'ALL CANDIDATES'!$BW$2:$BW$63,0))</f>
        <v>https://www.instagram.com/abu.shalab/</v>
      </c>
    </row>
    <row r="7" customFormat="false" ht="23.85" hidden="false" customHeight="false" outlineLevel="0" collapsed="false">
      <c r="A7" s="2" t="n">
        <v>6</v>
      </c>
      <c r="B7" s="6" t="str">
        <f aca="false">INDEX('ALL CANDIDATES'!$B$2:$B$63,MATCH(LARGE('ALL CANDIDATES'!$BW$2:$BW$63,$A7),'ALL CANDIDATES'!$BW$2:$BW$63,0))</f>
        <v>Casper the Italian Greyhound</v>
      </c>
      <c r="C7" s="6" t="str">
        <f aca="false">INDEX('ALL CANDIDATES'!$C$2:$C$63,MATCH(LARGE('ALL CANDIDATES'!$BW$2:$BW$63,$A7),'ALL CANDIDATES'!$BW$2:$BW$63,0))</f>
        <v>casper.iggy</v>
      </c>
      <c r="D7" s="6" t="str">
        <f aca="false">INDEX('ALL CANDIDATES'!$E$2:$E$63,MATCH(LARGE('ALL CANDIDATES'!$BW$2:$BW$63,$A7),'ALL CANDIDATES'!$BW$2:$BW$63,0))</f>
        <v>DISCOVERED</v>
      </c>
      <c r="E7" s="6" t="n">
        <f aca="false">INDEX('ALL CANDIDATES'!$BS$2:$BS$63,MATCH(LARGE('ALL CANDIDATES'!$BW$2:$BW$63,$A7),'ALL CANDIDATES'!$BW$2:$BW$63,0))</f>
        <v>69.6</v>
      </c>
      <c r="F7" s="20" t="n">
        <f aca="false">INDEX('ALL CANDIDATES'!$BJ$2:$BJ$63,MATCH(LARGE('ALL CANDIDATES'!$BW$2:$BW$63,$A7),'ALL CANDIDATES'!$BW$2:$BW$63,0))</f>
        <v>63.3</v>
      </c>
      <c r="G7" s="20" t="n">
        <f aca="false">INDEX('ALL CANDIDATES'!$BP$2:$BP$63,MATCH(LARGE('ALL CANDIDATES'!$BW$2:$BW$63,$A7),'ALL CANDIDATES'!$BW$2:$BW$63,0))</f>
        <v>68.2</v>
      </c>
      <c r="H7" s="20" t="n">
        <f aca="false">INDEX('ALL CANDIDATES'!$BQ$2:$BQ$63,MATCH(LARGE('ALL CANDIDATES'!$BW$2:$BW$63,$A7),'ALL CANDIDATES'!$BW$2:$BW$63,0))</f>
        <v>75</v>
      </c>
      <c r="I7" s="21" t="n">
        <f aca="false">INDEX('ALL CANDIDATES'!$BR$2:$BR$63,MATCH(LARGE('ALL CANDIDATES'!$BW$2:$BW$63,$A7),'ALL CANDIDATES'!$BW$2:$BW$63,0))</f>
        <v>0.8</v>
      </c>
      <c r="J7" s="20" t="n">
        <f aca="false">INDEX('ALL CANDIDATES'!$G$2:$G$63,MATCH(LARGE('ALL CANDIDATES'!$BW$2:$BW$63,$A7),'ALL CANDIDATES'!$BW$2:$BW$63,0))</f>
        <v>0</v>
      </c>
      <c r="K7" s="20" t="str">
        <f aca="false">INDEX('ALL CANDIDATES'!$AQ$2:$AQ$63,MATCH(LARGE('ALL CANDIDATES'!$BW$2:$BW$63,$A7),'ALL CANDIDATES'!$BW$2:$BW$63,0))</f>
        <v>NONE observed</v>
      </c>
      <c r="L7" s="20" t="str">
        <f aca="false">INDEX('ALL CANDIDATES'!$BX$2:$BX$63,MATCH(LARGE('ALL CANDIDATES'!$BW$2:$BW$63,$A7),'ALL CANDIDATES'!$BW$2:$BW$63,0))</f>
        <v>Strongest current engagement in the fight-league universe; appears in other characters' storylines.</v>
      </c>
      <c r="M7" s="20" t="str">
        <f aca="false">INDEX('ALL CANDIDATES'!$D$2:$D$63,MATCH(LARGE('ALL CANDIDATES'!$BW$2:$BW$63,$A7),'ALL CANDIDATES'!$BW$2:$BW$63,0))</f>
        <v>https://www.instagram.com/casper.iggy/</v>
      </c>
    </row>
    <row r="8" customFormat="false" ht="35.05" hidden="false" customHeight="false" outlineLevel="0" collapsed="false">
      <c r="A8" s="2" t="n">
        <v>7</v>
      </c>
      <c r="B8" s="6" t="str">
        <f aca="false">INDEX('ALL CANDIDATES'!$B$2:$B$63,MATCH(LARGE('ALL CANDIDATES'!$BW$2:$BW$63,$A8),'ALL CANDIDATES'!$BW$2:$BW$63,0))</f>
        <v>Archibald Brown</v>
      </c>
      <c r="C8" s="6" t="str">
        <f aca="false">INDEX('ALL CANDIDATES'!$C$2:$C$63,MATCH(LARGE('ALL CANDIDATES'!$BW$2:$BW$63,$A8),'ALL CANDIDATES'!$BW$2:$BW$63,0))</f>
        <v>archibald_brown</v>
      </c>
      <c r="D8" s="6" t="str">
        <f aca="false">INDEX('ALL CANDIDATES'!$E$2:$E$63,MATCH(LARGE('ALL CANDIDATES'!$BW$2:$BW$63,$A8),'ALL CANDIDATES'!$BW$2:$BW$63,0))</f>
        <v>SEED</v>
      </c>
      <c r="E8" s="6" t="n">
        <f aca="false">INDEX('ALL CANDIDATES'!$BS$2:$BS$63,MATCH(LARGE('ALL CANDIDATES'!$BW$2:$BW$63,$A8),'ALL CANDIDATES'!$BW$2:$BW$63,0))</f>
        <v>68.5</v>
      </c>
      <c r="F8" s="20" t="n">
        <f aca="false">INDEX('ALL CANDIDATES'!$BJ$2:$BJ$63,MATCH(LARGE('ALL CANDIDATES'!$BW$2:$BW$63,$A8),'ALL CANDIDATES'!$BW$2:$BW$63,0))</f>
        <v>54.5</v>
      </c>
      <c r="G8" s="20" t="n">
        <f aca="false">INDEX('ALL CANDIDATES'!$BP$2:$BP$63,MATCH(LARGE('ALL CANDIDATES'!$BW$2:$BW$63,$A8),'ALL CANDIDATES'!$BW$2:$BW$63,0))</f>
        <v>54.8</v>
      </c>
      <c r="H8" s="20" t="n">
        <f aca="false">INDEX('ALL CANDIDATES'!$BQ$2:$BQ$63,MATCH(LARGE('ALL CANDIDATES'!$BW$2:$BW$63,$A8),'ALL CANDIDATES'!$BW$2:$BW$63,0))</f>
        <v>90</v>
      </c>
      <c r="I8" s="21" t="n">
        <f aca="false">INDEX('ALL CANDIDATES'!$BR$2:$BR$63,MATCH(LARGE('ALL CANDIDATES'!$BW$2:$BW$63,$A8),'ALL CANDIDATES'!$BW$2:$BW$63,0))</f>
        <v>1</v>
      </c>
      <c r="J8" s="20" t="n">
        <f aca="false">INDEX('ALL CANDIDATES'!$G$2:$G$63,MATCH(LARGE('ALL CANDIDATES'!$BW$2:$BW$63,$A8),'ALL CANDIDATES'!$BW$2:$BW$63,0))</f>
        <v>0</v>
      </c>
      <c r="K8" s="20" t="str">
        <f aca="false">INDEX('ALL CANDIDATES'!$AQ$2:$AQ$63,MATCH(LARGE('ALL CANDIDATES'!$BW$2:$BW$63,$A8),'ALL CANDIDATES'!$BW$2:$BW$63,0))</f>
        <v>NONE observed</v>
      </c>
      <c r="L8" s="20" t="str">
        <f aca="false">INDEX('ALL CANDIDATES'!$BX$2:$BX$63,MATCH(LARGE('ALL CANDIDATES'!$BW$2:$BW$63,$A8),'ALL CANDIDATES'!$BW$2:$BW$63,0))</f>
        <v>The storyline engine of the wave: rivalry with Jean Phil, cross-over call-outs to the AI-animal fighters (Abu Nutty, Casper). Strong lore, weak recent engagement.</v>
      </c>
      <c r="M8" s="20" t="str">
        <f aca="false">INDEX('ALL CANDIDATES'!$D$2:$D$63,MATCH(LARGE('ALL CANDIDATES'!$BW$2:$BW$63,$A8),'ALL CANDIDATES'!$BW$2:$BW$63,0))</f>
        <v>https://www.instagram.com/archibald_brown/</v>
      </c>
    </row>
    <row r="9" customFormat="false" ht="23.85" hidden="false" customHeight="false" outlineLevel="0" collapsed="false">
      <c r="A9" s="2" t="n">
        <v>8</v>
      </c>
      <c r="B9" s="6" t="str">
        <f aca="false">INDEX('ALL CANDIDATES'!$B$2:$B$63,MATCH(LARGE('ALL CANDIDATES'!$BW$2:$BW$63,$A9),'ALL CANDIDATES'!$BW$2:$BW$63,0))</f>
        <v>Mr. Stretchy</v>
      </c>
      <c r="C9" s="6" t="str">
        <f aca="false">INDEX('ALL CANDIDATES'!$C$2:$C$63,MATCH(LARGE('ALL CANDIDATES'!$BW$2:$BW$63,$A9),'ALL CANDIDATES'!$BW$2:$BW$63,0))</f>
        <v>mr._stretchy</v>
      </c>
      <c r="D9" s="6" t="str">
        <f aca="false">INDEX('ALL CANDIDATES'!$E$2:$E$63,MATCH(LARGE('ALL CANDIDATES'!$BW$2:$BW$63,$A9),'ALL CANDIDATES'!$BW$2:$BW$63,0))</f>
        <v>DISCOVERED</v>
      </c>
      <c r="E9" s="6" t="n">
        <f aca="false">INDEX('ALL CANDIDATES'!$BS$2:$BS$63,MATCH(LARGE('ALL CANDIDATES'!$BW$2:$BW$63,$A9),'ALL CANDIDATES'!$BW$2:$BW$63,0))</f>
        <v>67.4</v>
      </c>
      <c r="F9" s="20" t="n">
        <f aca="false">INDEX('ALL CANDIDATES'!$BJ$2:$BJ$63,MATCH(LARGE('ALL CANDIDATES'!$BW$2:$BW$63,$A9),'ALL CANDIDATES'!$BW$2:$BW$63,0))</f>
        <v>67.3</v>
      </c>
      <c r="G9" s="20" t="n">
        <f aca="false">INDEX('ALL CANDIDATES'!$BP$2:$BP$63,MATCH(LARGE('ALL CANDIDATES'!$BW$2:$BW$63,$A9),'ALL CANDIDATES'!$BW$2:$BW$63,0))</f>
        <v>62.7</v>
      </c>
      <c r="H9" s="20" t="n">
        <f aca="false">INDEX('ALL CANDIDATES'!$BQ$2:$BQ$63,MATCH(LARGE('ALL CANDIDATES'!$BW$2:$BW$63,$A9),'ALL CANDIDATES'!$BW$2:$BW$63,0))</f>
        <v>65</v>
      </c>
      <c r="I9" s="21" t="n">
        <f aca="false">INDEX('ALL CANDIDATES'!$BR$2:$BR$63,MATCH(LARGE('ALL CANDIDATES'!$BW$2:$BW$63,$A9),'ALL CANDIDATES'!$BW$2:$BW$63,0))</f>
        <v>0.8</v>
      </c>
      <c r="J9" s="20" t="n">
        <f aca="false">INDEX('ALL CANDIDATES'!$G$2:$G$63,MATCH(LARGE('ALL CANDIDATES'!$BW$2:$BW$63,$A9),'ALL CANDIDATES'!$BW$2:$BW$63,0))</f>
        <v>0</v>
      </c>
      <c r="K9" s="20" t="str">
        <f aca="false">INDEX('ALL CANDIDATES'!$AQ$2:$AQ$63,MATCH(LARGE('ALL CANDIDATES'!$BW$2:$BW$63,$A9),'ALL CANDIDATES'!$BW$2:$BW$63,0))</f>
        <v>NONE observed</v>
      </c>
      <c r="L9" s="20" t="str">
        <f aca="false">INDEX('ALL CANDIDATES'!$BX$2:$BX$63,MATCH(LARGE('ALL CANDIDATES'!$BW$2:$BW$63,$A9),'ALL CANDIDATES'!$BW$2:$BW$63,0))</f>
        <v>Near-1M AI character with a partner character (Ms. Stretchy) and visible ad revenue.</v>
      </c>
      <c r="M9" s="20" t="str">
        <f aca="false">INDEX('ALL CANDIDATES'!$D$2:$D$63,MATCH(LARGE('ALL CANDIDATES'!$BW$2:$BW$63,$A9),'ALL CANDIDATES'!$BW$2:$BW$63,0))</f>
        <v>https://www.instagram.com/mr._stretchy/</v>
      </c>
    </row>
    <row r="10" customFormat="false" ht="23.85" hidden="false" customHeight="false" outlineLevel="0" collapsed="false">
      <c r="A10" s="2" t="n">
        <v>9</v>
      </c>
      <c r="B10" s="6" t="str">
        <f aca="false">INDEX('ALL CANDIDATES'!$B$2:$B$63,MATCH(LARGE('ALL CANDIDATES'!$BW$2:$BW$63,$A10),'ALL CANDIDATES'!$BW$2:$BW$63,0))</f>
        <v>Candy the Greyhound</v>
      </c>
      <c r="C10" s="6" t="str">
        <f aca="false">INDEX('ALL CANDIDATES'!$C$2:$C$63,MATCH(LARGE('ALL CANDIDATES'!$BW$2:$BW$63,$A10),'ALL CANDIDATES'!$BW$2:$BW$63,0))</f>
        <v>candy.greyhound</v>
      </c>
      <c r="D10" s="6" t="str">
        <f aca="false">INDEX('ALL CANDIDATES'!$E$2:$E$63,MATCH(LARGE('ALL CANDIDATES'!$BW$2:$BW$63,$A10),'ALL CANDIDATES'!$BW$2:$BW$63,0))</f>
        <v>DISCOVERED</v>
      </c>
      <c r="E10" s="6" t="n">
        <f aca="false">INDEX('ALL CANDIDATES'!$BS$2:$BS$63,MATCH(LARGE('ALL CANDIDATES'!$BW$2:$BW$63,$A10),'ALL CANDIDATES'!$BW$2:$BW$63,0))</f>
        <v>66.4</v>
      </c>
      <c r="F10" s="20" t="n">
        <f aca="false">INDEX('ALL CANDIDATES'!$BJ$2:$BJ$63,MATCH(LARGE('ALL CANDIDATES'!$BW$2:$BW$63,$A10),'ALL CANDIDATES'!$BW$2:$BW$63,0))</f>
        <v>58.9</v>
      </c>
      <c r="G10" s="20" t="n">
        <f aca="false">INDEX('ALL CANDIDATES'!$BP$2:$BP$63,MATCH(LARGE('ALL CANDIDATES'!$BW$2:$BW$63,$A10),'ALL CANDIDATES'!$BW$2:$BW$63,0))</f>
        <v>61</v>
      </c>
      <c r="H10" s="20" t="n">
        <f aca="false">INDEX('ALL CANDIDATES'!$BQ$2:$BQ$63,MATCH(LARGE('ALL CANDIDATES'!$BW$2:$BW$63,$A10),'ALL CANDIDATES'!$BW$2:$BW$63,0))</f>
        <v>70</v>
      </c>
      <c r="I10" s="21" t="n">
        <f aca="false">INDEX('ALL CANDIDATES'!$BR$2:$BR$63,MATCH(LARGE('ALL CANDIDATES'!$BW$2:$BW$63,$A10),'ALL CANDIDATES'!$BW$2:$BW$63,0))</f>
        <v>0.9</v>
      </c>
      <c r="J10" s="20" t="n">
        <f aca="false">INDEX('ALL CANDIDATES'!$G$2:$G$63,MATCH(LARGE('ALL CANDIDATES'!$BW$2:$BW$63,$A10),'ALL CANDIDATES'!$BW$2:$BW$63,0))</f>
        <v>0</v>
      </c>
      <c r="K10" s="20" t="str">
        <f aca="false">INDEX('ALL CANDIDATES'!$AQ$2:$AQ$63,MATCH(LARGE('ALL CANDIDATES'!$BW$2:$BW$63,$A10),'ALL CANDIDATES'!$BW$2:$BW$63,0))</f>
        <v>NONE observed</v>
      </c>
      <c r="L10" s="20" t="str">
        <f aca="false">INDEX('ALL CANDIDATES'!$BX$2:$BX$63,MATCH(LARGE('ALL CANDIDATES'!$BW$2:$BW$63,$A10),'ALL CANDIDATES'!$BW$2:$BW$63,0))</f>
        <v>Most cross-referenced node of the AI-animal universe; verified.</v>
      </c>
      <c r="M10" s="20" t="str">
        <f aca="false">INDEX('ALL CANDIDATES'!$D$2:$D$63,MATCH(LARGE('ALL CANDIDATES'!$BW$2:$BW$63,$A10),'ALL CANDIDATES'!$BW$2:$BW$63,0))</f>
        <v>https://www.instagram.com/candy.greyhound/</v>
      </c>
    </row>
    <row r="11" customFormat="false" ht="23.85" hidden="false" customHeight="false" outlineLevel="0" collapsed="false">
      <c r="A11" s="2" t="n">
        <v>10</v>
      </c>
      <c r="B11" s="6" t="str">
        <f aca="false">INDEX('ALL CANDIDATES'!$B$2:$B$63,MATCH(LARGE('ALL CANDIDATES'!$BW$2:$BW$63,$A11),'ALL CANDIDATES'!$BW$2:$BW$63,0))</f>
        <v>Nobody Sausage</v>
      </c>
      <c r="C11" s="6" t="str">
        <f aca="false">INDEX('ALL CANDIDATES'!$C$2:$C$63,MATCH(LARGE('ALL CANDIDATES'!$BW$2:$BW$63,$A11),'ALL CANDIDATES'!$BW$2:$BW$63,0))</f>
        <v>nobodysausage</v>
      </c>
      <c r="D11" s="6" t="str">
        <f aca="false">INDEX('ALL CANDIDATES'!$E$2:$E$63,MATCH(LARGE('ALL CANDIDATES'!$BW$2:$BW$63,$A11),'ALL CANDIDATES'!$BW$2:$BW$63,0))</f>
        <v>DISCOVERED</v>
      </c>
      <c r="E11" s="6" t="n">
        <f aca="false">INDEX('ALL CANDIDATES'!$BS$2:$BS$63,MATCH(LARGE('ALL CANDIDATES'!$BW$2:$BW$63,$A11),'ALL CANDIDATES'!$BW$2:$BW$63,0))</f>
        <v>65.6</v>
      </c>
      <c r="F11" s="20" t="n">
        <f aca="false">INDEX('ALL CANDIDATES'!$BJ$2:$BJ$63,MATCH(LARGE('ALL CANDIDATES'!$BW$2:$BW$63,$A11),'ALL CANDIDATES'!$BW$2:$BW$63,0))</f>
        <v>78.7</v>
      </c>
      <c r="G11" s="20" t="n">
        <f aca="false">INDEX('ALL CANDIDATES'!$BP$2:$BP$63,MATCH(LARGE('ALL CANDIDATES'!$BW$2:$BW$63,$A11),'ALL CANDIDATES'!$BW$2:$BW$63,0))</f>
        <v>43.4</v>
      </c>
      <c r="H11" s="20" t="n">
        <f aca="false">INDEX('ALL CANDIDATES'!$BQ$2:$BQ$63,MATCH(LARGE('ALL CANDIDATES'!$BW$2:$BW$63,$A11),'ALL CANDIDATES'!$BW$2:$BW$63,0))</f>
        <v>65</v>
      </c>
      <c r="I11" s="21" t="n">
        <f aca="false">INDEX('ALL CANDIDATES'!$BR$2:$BR$63,MATCH(LARGE('ALL CANDIDATES'!$BW$2:$BW$63,$A11),'ALL CANDIDATES'!$BW$2:$BW$63,0))</f>
        <v>0.8</v>
      </c>
      <c r="J11" s="20" t="n">
        <f aca="false">INDEX('ALL CANDIDATES'!$G$2:$G$63,MATCH(LARGE('ALL CANDIDATES'!$BW$2:$BW$63,$A11),'ALL CANDIDATES'!$BW$2:$BW$63,0))</f>
        <v>0</v>
      </c>
      <c r="K11" s="20" t="str">
        <f aca="false">INDEX('ALL CANDIDATES'!$AQ$2:$AQ$63,MATCH(LARGE('ALL CANDIDATES'!$BW$2:$BW$63,$A11),'ALL CANDIDATES'!$BW$2:$BW$63,0))</f>
        <v>NONE observed</v>
      </c>
      <c r="L11" s="20" t="str">
        <f aca="false">INDEX('ALL CANDIDATES'!$BX$2:$BX$63,MATCH(LARGE('ALL CANDIDATES'!$BW$2:$BW$63,$A11),'ALL CANDIDATES'!$BW$2:$BW$63,0))</f>
        <v>Largest synthetic character on IG in this set (7.35M).</v>
      </c>
      <c r="M11" s="20" t="str">
        <f aca="false">INDEX('ALL CANDIDATES'!$D$2:$D$63,MATCH(LARGE('ALL CANDIDATES'!$BW$2:$BW$63,$A11),'ALL CANDIDATES'!$BW$2:$BW$63,0))</f>
        <v>https://www.instagram.com/nobodysausage/</v>
      </c>
    </row>
    <row r="13" customFormat="false" ht="15" hidden="false" customHeight="false" outlineLevel="0" collapsed="false">
      <c r="A13" s="10" t="s">
        <v>1323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26" t="s">
        <v>1324</v>
      </c>
    </row>
    <row r="2" customFormat="false" ht="15" hidden="false" customHeight="false" outlineLevel="0" collapsed="false">
      <c r="A2" s="10" t="s">
        <v>1325</v>
      </c>
    </row>
    <row r="4" customFormat="false" ht="15" hidden="false" customHeight="false" outlineLevel="0" collapsed="false">
      <c r="A4" s="24" t="s">
        <v>1326</v>
      </c>
      <c r="B4" s="24" t="s">
        <v>1327</v>
      </c>
      <c r="C4" s="24" t="s">
        <v>1328</v>
      </c>
    </row>
    <row r="5" customFormat="false" ht="15" hidden="false" customHeight="false" outlineLevel="0" collapsed="false">
      <c r="A5" s="27" t="s">
        <v>1329</v>
      </c>
      <c r="B5" s="27" t="s">
        <v>1330</v>
      </c>
      <c r="C5" s="28" t="n">
        <v>46304</v>
      </c>
    </row>
    <row r="6" customFormat="false" ht="15" hidden="false" customHeight="false" outlineLevel="0" collapsed="false">
      <c r="A6" s="27" t="s">
        <v>1331</v>
      </c>
      <c r="B6" s="27" t="s">
        <v>1332</v>
      </c>
      <c r="C6" s="29" t="n">
        <v>30</v>
      </c>
    </row>
    <row r="7" customFormat="false" ht="15" hidden="false" customHeight="false" outlineLevel="0" collapsed="false">
      <c r="A7" s="27" t="s">
        <v>1333</v>
      </c>
      <c r="B7" s="27" t="s">
        <v>1334</v>
      </c>
      <c r="C7" s="29" t="n">
        <v>20</v>
      </c>
    </row>
    <row r="8" customFormat="false" ht="15" hidden="false" customHeight="false" outlineLevel="0" collapsed="false">
      <c r="A8" s="27" t="s">
        <v>1335</v>
      </c>
      <c r="B8" s="27" t="s">
        <v>1336</v>
      </c>
      <c r="C8" s="29" t="n">
        <v>20</v>
      </c>
    </row>
    <row r="9" customFormat="false" ht="15" hidden="false" customHeight="false" outlineLevel="0" collapsed="false">
      <c r="A9" s="27" t="s">
        <v>1337</v>
      </c>
      <c r="B9" s="27" t="s">
        <v>1338</v>
      </c>
      <c r="C9" s="29" t="n">
        <v>10</v>
      </c>
    </row>
    <row r="10" customFormat="false" ht="15" hidden="false" customHeight="false" outlineLevel="0" collapsed="false">
      <c r="A10" s="27" t="s">
        <v>1339</v>
      </c>
      <c r="B10" s="27" t="s">
        <v>1340</v>
      </c>
      <c r="C10" s="29" t="n">
        <v>10</v>
      </c>
    </row>
    <row r="11" customFormat="false" ht="15" hidden="false" customHeight="false" outlineLevel="0" collapsed="false">
      <c r="A11" s="27" t="s">
        <v>1341</v>
      </c>
      <c r="B11" s="27" t="s">
        <v>1342</v>
      </c>
      <c r="C11" s="29" t="n">
        <v>10</v>
      </c>
    </row>
    <row r="12" customFormat="false" ht="15" hidden="false" customHeight="false" outlineLevel="0" collapsed="false">
      <c r="A12" s="27" t="s">
        <v>1343</v>
      </c>
      <c r="B12" s="27" t="s">
        <v>1344</v>
      </c>
      <c r="C12" s="29" t="n">
        <v>35</v>
      </c>
    </row>
    <row r="13" customFormat="false" ht="15" hidden="false" customHeight="false" outlineLevel="0" collapsed="false">
      <c r="A13" s="27" t="s">
        <v>1345</v>
      </c>
      <c r="B13" s="27" t="s">
        <v>1346</v>
      </c>
      <c r="C13" s="29" t="n">
        <v>25</v>
      </c>
    </row>
    <row r="14" customFormat="false" ht="15" hidden="false" customHeight="false" outlineLevel="0" collapsed="false">
      <c r="A14" s="27" t="s">
        <v>1347</v>
      </c>
      <c r="B14" s="27" t="s">
        <v>1348</v>
      </c>
      <c r="C14" s="29" t="n">
        <v>15</v>
      </c>
    </row>
    <row r="15" customFormat="false" ht="15" hidden="false" customHeight="false" outlineLevel="0" collapsed="false">
      <c r="A15" s="27" t="s">
        <v>1349</v>
      </c>
      <c r="B15" s="27" t="s">
        <v>1350</v>
      </c>
      <c r="C15" s="29" t="n">
        <v>15</v>
      </c>
    </row>
    <row r="16" customFormat="false" ht="15" hidden="false" customHeight="false" outlineLevel="0" collapsed="false">
      <c r="A16" s="27" t="s">
        <v>1351</v>
      </c>
      <c r="B16" s="27" t="s">
        <v>1352</v>
      </c>
      <c r="C16" s="29" t="n">
        <v>10</v>
      </c>
    </row>
    <row r="17" customFormat="false" ht="15" hidden="false" customHeight="false" outlineLevel="0" collapsed="false">
      <c r="A17" s="27" t="s">
        <v>1353</v>
      </c>
      <c r="B17" s="27" t="s">
        <v>1354</v>
      </c>
      <c r="C17" s="29" t="n">
        <v>0.35</v>
      </c>
    </row>
    <row r="18" customFormat="false" ht="15" hidden="false" customHeight="false" outlineLevel="0" collapsed="false">
      <c r="A18" s="27" t="s">
        <v>1355</v>
      </c>
      <c r="B18" s="27" t="s">
        <v>1356</v>
      </c>
      <c r="C18" s="29" t="n">
        <v>0.3</v>
      </c>
    </row>
    <row r="19" customFormat="false" ht="15" hidden="false" customHeight="false" outlineLevel="0" collapsed="false">
      <c r="A19" s="27" t="s">
        <v>1357</v>
      </c>
      <c r="B19" s="27" t="s">
        <v>1358</v>
      </c>
      <c r="C19" s="29" t="n">
        <v>0.2</v>
      </c>
    </row>
    <row r="20" customFormat="false" ht="15" hidden="false" customHeight="false" outlineLevel="0" collapsed="false">
      <c r="A20" s="27" t="s">
        <v>1359</v>
      </c>
      <c r="B20" s="27" t="s">
        <v>1360</v>
      </c>
      <c r="C20" s="29" t="n">
        <v>0.15</v>
      </c>
    </row>
    <row r="22" customFormat="false" ht="15" hidden="false" customHeight="false" outlineLevel="0" collapsed="false">
      <c r="A22" s="27" t="s">
        <v>1361</v>
      </c>
      <c r="C22" s="27" t="n">
        <f aca="false">SUM(C6:C11)</f>
        <v>100</v>
      </c>
    </row>
    <row r="23" customFormat="false" ht="15" hidden="false" customHeight="false" outlineLevel="0" collapsed="false">
      <c r="A23" s="27" t="s">
        <v>1362</v>
      </c>
      <c r="C23" s="27" t="n">
        <f aca="false">SUM(C12:C16)</f>
        <v>100</v>
      </c>
    </row>
    <row r="24" customFormat="false" ht="15" hidden="false" customHeight="false" outlineLevel="0" collapsed="false">
      <c r="A24" s="27" t="s">
        <v>1363</v>
      </c>
      <c r="C24" s="27" t="n">
        <f aca="false">SUM(C17:C20)</f>
        <v>1</v>
      </c>
    </row>
    <row r="25" customFormat="false" ht="15" hidden="false" customHeight="false" outlineLevel="0" collapsed="false">
      <c r="A25" s="27"/>
    </row>
    <row r="26" customFormat="false" ht="15" hidden="false" customHeight="false" outlineLevel="0" collapsed="false">
      <c r="A26" s="30" t="s">
        <v>1364</v>
      </c>
    </row>
    <row r="27" customFormat="false" ht="15" hidden="false" customHeight="false" outlineLevel="0" collapsed="false">
      <c r="A27" s="27" t="s">
        <v>1365</v>
      </c>
    </row>
    <row r="28" customFormat="false" ht="15" hidden="false" customHeight="false" outlineLevel="0" collapsed="false">
      <c r="A28" s="27" t="s">
        <v>1366</v>
      </c>
    </row>
    <row r="29" customFormat="false" ht="15" hidden="false" customHeight="false" outlineLevel="0" collapsed="false">
      <c r="A29" s="27" t="s">
        <v>1367</v>
      </c>
    </row>
    <row r="30" customFormat="false" ht="15" hidden="false" customHeight="false" outlineLevel="0" collapsed="false">
      <c r="A30" s="27" t="s">
        <v>1368</v>
      </c>
    </row>
    <row r="31" customFormat="false" ht="15" hidden="false" customHeight="false" outlineLevel="0" collapsed="false">
      <c r="A31" s="27" t="s">
        <v>1369</v>
      </c>
    </row>
    <row r="32" customFormat="false" ht="15" hidden="false" customHeight="false" outlineLevel="0" collapsed="false">
      <c r="A32" s="27" t="s">
        <v>1370</v>
      </c>
    </row>
    <row r="33" customFormat="false" ht="15" hidden="false" customHeight="false" outlineLevel="0" collapsed="false">
      <c r="A33" s="27" t="s">
        <v>1371</v>
      </c>
    </row>
    <row r="34" customFormat="false" ht="15" hidden="false" customHeight="false" outlineLevel="0" collapsed="false">
      <c r="A34" s="27" t="s">
        <v>1372</v>
      </c>
    </row>
    <row r="35" customFormat="false" ht="15" hidden="false" customHeight="false" outlineLevel="0" collapsed="false">
      <c r="A35" s="27" t="s">
        <v>1373</v>
      </c>
    </row>
    <row r="36" customFormat="false" ht="15" hidden="false" customHeight="false" outlineLevel="0" collapsed="false">
      <c r="A36" s="27" t="s">
        <v>1374</v>
      </c>
    </row>
    <row r="37" customFormat="false" ht="15" hidden="false" customHeight="false" outlineLevel="0" collapsed="false">
      <c r="A37" s="27" t="s">
        <v>1375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2026-10-09T07:56:56Z</dcterms:created>
  <dc:creator>openpyxl</dc:creator>
  <dc:description/>
  <dc:language>en-US</dc:language>
  <cp:lastModifiedBy/>
  <dcterms:modified xsi:type="dcterms:W3CDTF">2026-10-09T07:56:57Z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